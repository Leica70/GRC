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f7841cb2d2214c49" /></Relationships>
</file>

<file path=xl/workbook.xml><?xml version="1.0" encoding="utf-8"?>
<x:workbook xmlns:x="http://schemas.openxmlformats.org/spreadsheetml/2006/main">
  <x:sheets>
    <x:sheet xmlns:r="http://schemas.openxmlformats.org/officeDocument/2006/relationships" name="Executive Dashboard" sheetId="1" r:id="R24f0800511f045ab"/>
    <x:sheet xmlns:r="http://schemas.openxmlformats.org/officeDocument/2006/relationships" name="Server Register" sheetId="2" r:id="Rd8834327b010457d"/>
    <x:sheet xmlns:r="http://schemas.openxmlformats.org/officeDocument/2006/relationships" name="Application Inventory" sheetId="3" r:id="R82b20715f2df4592"/>
    <x:sheet xmlns:r="http://schemas.openxmlformats.org/officeDocument/2006/relationships" name="Discovery Questionnaire" sheetId="4" r:id="R74cc95b18378456e"/>
    <x:sheet xmlns:r="http://schemas.openxmlformats.org/officeDocument/2006/relationships" name="Risk Assessment" sheetId="5" r:id="R52edd6821249463c"/>
    <x:sheet xmlns:r="http://schemas.openxmlformats.org/officeDocument/2006/relationships" name="Remediation Tracker" sheetId="6" r:id="R4dc9c00e13694c23"/>
    <x:sheet xmlns:r="http://schemas.openxmlformats.org/officeDocument/2006/relationships" name="Guidance &amp; Lookups" sheetId="7" r:id="R9f466b7a49ba4e2a"/>
  </x:sheets>
</x:workbook>
</file>

<file path=xl/comments1.xml><?xml version="1.0" encoding="utf-8"?>
<x:comments xmlns:x="http://schemas.openxmlformats.org/spreadsheetml/2006/main">
  <x:authors>
    <x:author>tc={A91D1F55-6DBD-35EA-B4BE-67007682D9CD}</x:author>
  </x:authors>
  <x:commentList>
    <x:comment ref="A9" authorId="0">
      <x:text>
        <x:r>
          <x:t>[Threaded comment]
Your version of Excel allows you to read this threaded comment; however, any edits to it will get removed if the file is opened in a newer version of Excel. Learn more: https://go.microsoft.com/fwlink/?linkid=870924
Comment:
    Formula-driven KPI. Update the Server Register and the dashboard will recalculate.</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yyyy-mm-dd"/>
    <x:numFmt numFmtId="202" formatCode="0"/>
  </x:numFmts>
  <x:fonts count="15">
    <x:font>
      <x:sz val="11"/>
      <x:name val="Carlito"/>
    </x:font>
    <x:font>
      <x:b/>
      <x:sz val="20"/>
      <x:color rgb="FFFFFFFF"/>
      <x:name val="Carlito"/>
    </x:font>
    <x:font>
      <x:i/>
      <x:sz val="10"/>
      <x:color rgb="FF17365D"/>
      <x:name val="Carlito"/>
    </x:font>
    <x:font>
      <x:b/>
      <x:sz val="10"/>
      <x:color rgb="FFFFFFFF"/>
      <x:name val="Carlito"/>
    </x:font>
    <x:font>
      <x:sz val="9"/>
      <x:color rgb="FF1F2937"/>
      <x:name val="Carlito"/>
    </x:font>
    <x:font>
      <x:b/>
      <x:sz val="12"/>
      <x:color rgb="FFFFFFFF"/>
      <x:name val="Carlito"/>
    </x:font>
    <x:font>
      <x:sz val="10"/>
      <x:color rgb="FF1F2937"/>
      <x:name val="Carlito"/>
    </x:font>
    <x:font>
      <x:sz val="11"/>
      <x:color rgb="FF1F2937"/>
      <x:name val="Carlito"/>
    </x:font>
    <x:font>
      <x:b/>
      <x:sz val="24"/>
      <x:color rgb="FF2F75B5"/>
      <x:name val="Carlito"/>
    </x:font>
    <x:font>
      <x:b/>
      <x:sz val="24"/>
      <x:color rgb="FFC00000"/>
      <x:name val="Carlito"/>
    </x:font>
    <x:font>
      <x:b/>
      <x:sz val="24"/>
      <x:color rgb="FF0F6B78"/>
      <x:name val="Carlito"/>
    </x:font>
    <x:font>
      <x:b/>
      <x:sz val="24"/>
      <x:color rgb="FFBF7200"/>
      <x:name val="Carlito"/>
    </x:font>
    <x:font>
      <x:b/>
      <x:sz val="13"/>
      <x:color rgb="FFFFFFFF"/>
      <x:name val="Carlito"/>
    </x:font>
    <x:font>
      <x:b/>
      <x:sz val="10"/>
      <x:color rgb="FF17365D"/>
      <x:name val="Carlito"/>
    </x:font>
    <x:font>
      <x:i/>
      <x:sz val="9"/>
      <x:color rgb="FF64748B"/>
      <x:name val="Carlito"/>
    </x:font>
  </x:fonts>
  <x:fills count="11">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0F6B78"/>
      </x:patternFill>
    </x:fill>
    <x:fill>
      <x:patternFill patternType="solid">
        <x:fgColor rgb="FFF4F7FA"/>
      </x:patternFill>
    </x:fill>
    <x:fill>
      <x:patternFill patternType="solid">
        <x:fgColor rgb="FFFFFFFF"/>
      </x:patternFill>
    </x:fill>
    <x:fill>
      <x:patternFill patternType="solid">
        <x:fgColor rgb="FFC00000"/>
      </x:patternFill>
    </x:fill>
    <x:fill>
      <x:patternFill patternType="solid">
        <x:fgColor rgb="FFBF7200"/>
      </x:patternFill>
    </x:fill>
    <x:fill>
      <x:patternFill patternType="solid">
        <x:fgColor rgb="FFE7E6E6"/>
      </x:patternFill>
    </x:fill>
  </x:fills>
  <x:borders count="45">
    <x:border/>
    <x:border>
      <x:left style="thin">
        <x:color rgb="FF17365D"/>
      </x:left>
      <x:top style="thin">
        <x:color rgb="FF17365D"/>
      </x:top>
      <x:bottom style="thin">
        <x:color rgb="FF17365D"/>
      </x:bottom>
    </x:border>
    <x:border>
      <x:right style="thin">
        <x:color rgb="FF17365D"/>
      </x:right>
      <x:top style="thin">
        <x:color rgb="FF17365D"/>
      </x:top>
      <x:bottom style="thin">
        <x:color rgb="FF17365D"/>
      </x:bottom>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right style="thin">
        <x:color rgb="FFCBD5E1"/>
      </x:right>
      <x:bottom style="thin">
        <x:color rgb="FFCBD5E1"/>
      </x:bottom>
    </x:border>
    <x:border>
      <x:top style="thin">
        <x:color rgb="FF17365D"/>
      </x:top>
      <x:bottom style="thin">
        <x:color rgb="FF17365D"/>
      </x:bottom>
    </x:border>
    <x:border>
      <x:left style="medium">
        <x:color rgb="FF2F75B5"/>
      </x:left>
      <x:top style="medium">
        <x:color rgb="FF2F75B5"/>
      </x:top>
    </x:border>
    <x:border>
      <x:top style="medium">
        <x:color rgb="FF2F75B5"/>
      </x:top>
    </x:border>
    <x:border>
      <x:right style="medium">
        <x:color rgb="FF2F75B5"/>
      </x:right>
      <x:top style="medium">
        <x:color rgb="FF2F75B5"/>
      </x:top>
    </x:border>
    <x:border>
      <x:left style="medium">
        <x:color rgb="FF2F75B5"/>
      </x:left>
    </x:border>
    <x:border>
      <x:right style="medium">
        <x:color rgb="FF2F75B5"/>
      </x:right>
    </x:border>
    <x:border>
      <x:left style="medium">
        <x:color rgb="FF2F75B5"/>
      </x:left>
      <x:bottom style="medium">
        <x:color rgb="FF2F75B5"/>
      </x:bottom>
    </x:border>
    <x:border>
      <x:bottom style="medium">
        <x:color rgb="FF2F75B5"/>
      </x:bottom>
    </x:border>
    <x:border>
      <x:right style="medium">
        <x:color rgb="FF2F75B5"/>
      </x:right>
      <x:bottom style="medium">
        <x:color rgb="FF2F75B5"/>
      </x:bottom>
    </x:border>
    <x:border>
      <x:left style="medium">
        <x:color rgb="FFC00000"/>
      </x:left>
      <x:top style="medium">
        <x:color rgb="FFC00000"/>
      </x:top>
    </x:border>
    <x:border>
      <x:top style="medium">
        <x:color rgb="FFC00000"/>
      </x:top>
    </x:border>
    <x:border>
      <x:right style="medium">
        <x:color rgb="FFC00000"/>
      </x:right>
      <x:top style="medium">
        <x:color rgb="FFC00000"/>
      </x:top>
    </x:border>
    <x:border>
      <x:left style="medium">
        <x:color rgb="FFC00000"/>
      </x:left>
    </x:border>
    <x:border>
      <x:right style="medium">
        <x:color rgb="FFC00000"/>
      </x:right>
    </x:border>
    <x:border>
      <x:left style="medium">
        <x:color rgb="FFC00000"/>
      </x:left>
      <x:bottom style="medium">
        <x:color rgb="FFC00000"/>
      </x:bottom>
    </x:border>
    <x:border>
      <x:bottom style="medium">
        <x:color rgb="FFC00000"/>
      </x:bottom>
    </x:border>
    <x:border>
      <x:right style="medium">
        <x:color rgb="FFC00000"/>
      </x:right>
      <x:bottom style="medium">
        <x:color rgb="FFC00000"/>
      </x:bottom>
    </x:border>
    <x:border>
      <x:left style="medium">
        <x:color rgb="FF0F6B78"/>
      </x:left>
      <x:top style="medium">
        <x:color rgb="FF0F6B78"/>
      </x:top>
    </x:border>
    <x:border>
      <x:top style="medium">
        <x:color rgb="FF0F6B78"/>
      </x:top>
    </x:border>
    <x:border>
      <x:right style="medium">
        <x:color rgb="FF0F6B78"/>
      </x:right>
      <x:top style="medium">
        <x:color rgb="FF0F6B78"/>
      </x:top>
    </x:border>
    <x:border>
      <x:left style="medium">
        <x:color rgb="FF0F6B78"/>
      </x:left>
    </x:border>
    <x:border>
      <x:right style="medium">
        <x:color rgb="FF0F6B78"/>
      </x:right>
    </x:border>
    <x:border>
      <x:left style="medium">
        <x:color rgb="FF0F6B78"/>
      </x:left>
      <x:bottom style="medium">
        <x:color rgb="FF0F6B78"/>
      </x:bottom>
    </x:border>
    <x:border>
      <x:bottom style="medium">
        <x:color rgb="FF0F6B78"/>
      </x:bottom>
    </x:border>
    <x:border>
      <x:right style="medium">
        <x:color rgb="FF0F6B78"/>
      </x:right>
      <x:bottom style="medium">
        <x:color rgb="FF0F6B78"/>
      </x:bottom>
    </x:border>
    <x:border>
      <x:left style="medium">
        <x:color rgb="FFBF7200"/>
      </x:left>
      <x:top style="medium">
        <x:color rgb="FFBF7200"/>
      </x:top>
    </x:border>
    <x:border>
      <x:top style="medium">
        <x:color rgb="FFBF7200"/>
      </x:top>
    </x:border>
    <x:border>
      <x:right style="medium">
        <x:color rgb="FFBF7200"/>
      </x:right>
      <x:top style="medium">
        <x:color rgb="FFBF7200"/>
      </x:top>
    </x:border>
    <x:border>
      <x:left style="medium">
        <x:color rgb="FFBF7200"/>
      </x:left>
    </x:border>
    <x:border>
      <x:right style="medium">
        <x:color rgb="FFBF7200"/>
      </x:right>
    </x:border>
    <x:border>
      <x:left style="medium">
        <x:color rgb="FFBF7200"/>
      </x:left>
      <x:bottom style="medium">
        <x:color rgb="FFBF7200"/>
      </x:bottom>
    </x:border>
    <x:border>
      <x:bottom style="medium">
        <x:color rgb="FFBF7200"/>
      </x:bottom>
    </x:border>
    <x:border>
      <x:right style="medium">
        <x:color rgb="FFBF7200"/>
      </x:right>
      <x:bottom style="medium">
        <x:color rgb="FFBF7200"/>
      </x:bottom>
    </x:border>
  </x:borders>
  <x:cellStyleXfs count="1">
    <x:xf numFmtId="0" fontId="0" fillId="0" borderId="0"/>
  </x:cellStyleXfs>
  <x:cellXfs count="2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200" fontId="0" fillId="0"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4" fillId="0" borderId="0"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200" fontId="4" fillId="0" borderId="0" xfId="0" applyNumberFormat="1" applyFont="1" applyFill="1" applyBorder="1"/>
    <x:xf numFmtId="200" fontId="4" fillId="0" borderId="3" xfId="0" applyNumberFormat="1" applyFont="1" applyFill="1" applyBorder="1"/>
    <x:xf numFmtId="200" fontId="4" fillId="0" borderId="4" xfId="0" applyNumberFormat="1" applyFont="1" applyFill="1" applyBorder="1"/>
    <x:xf numFmtId="200" fontId="4" fillId="0" borderId="5" xfId="0" applyNumberFormat="1" applyFont="1" applyFill="1" applyBorder="1"/>
    <x:xf numFmtId="200" fontId="4" fillId="0" borderId="3" xfId="0" applyNumberFormat="1" applyFont="1" applyFill="1" applyBorder="1" applyAlignment="1">
      <x:alignment wrapText="1"/>
    </x:xf>
    <x:xf numFmtId="200" fontId="4" fillId="0" borderId="4" xfId="0" applyNumberFormat="1" applyFont="1" applyFill="1" applyBorder="1" applyAlignment="1">
      <x:alignment wrapText="1"/>
    </x:xf>
    <x:xf numFmtId="200" fontId="4" fillId="0" borderId="5" xfId="0" applyNumberFormat="1" applyFont="1" applyFill="1" applyBorder="1" applyAlignment="1">
      <x:alignment wrapText="1"/>
    </x:xf>
    <x:xf numFmtId="200" fontId="4" fillId="0" borderId="3" xfId="0" applyNumberFormat="1" applyFont="1" applyFill="1" applyBorder="1" applyAlignment="1">
      <x:alignment vertical="top" wrapText="1"/>
    </x:xf>
    <x:xf numFmtId="200" fontId="4" fillId="0" borderId="4" xfId="0" applyNumberFormat="1" applyFont="1" applyFill="1" applyBorder="1" applyAlignment="1">
      <x:alignment vertical="top" wrapText="1"/>
    </x:xf>
    <x:xf numFmtId="200" fontId="4" fillId="0" borderId="5"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0" fillId="6" borderId="0" xfId="0" applyNumberFormat="1" applyFont="1" applyFill="1" applyBorder="1"/>
    <x:xf numFmtId="0" fontId="6" fillId="6" borderId="0" xfId="0" applyNumberFormat="1" applyFont="1" applyFill="1" applyBorder="1"/>
    <x:xf numFmtId="0" fontId="6" fillId="6" borderId="6" xfId="0" applyNumberFormat="1" applyFont="1" applyFill="1" applyBorder="1"/>
    <x:xf numFmtId="0" fontId="6" fillId="6" borderId="5" xfId="0" applyNumberFormat="1" applyFont="1" applyFill="1" applyBorder="1"/>
    <x:xf numFmtId="0" fontId="6" fillId="6" borderId="7" xfId="0" applyNumberFormat="1" applyFont="1" applyFill="1" applyBorder="1"/>
    <x:xf numFmtId="0" fontId="6" fillId="6" borderId="8" xfId="0" applyNumberFormat="1" applyFont="1" applyFill="1" applyBorder="1"/>
    <x:xf numFmtId="0" fontId="6" fillId="6" borderId="9" xfId="0" applyNumberFormat="1" applyFont="1" applyFill="1" applyBorder="1"/>
    <x:xf numFmtId="0" fontId="6" fillId="6" borderId="10" xfId="0" applyNumberFormat="1" applyFont="1" applyFill="1" applyBorder="1"/>
    <x:xf numFmtId="0" fontId="6" fillId="6" borderId="3" xfId="0" applyNumberFormat="1" applyFont="1" applyFill="1" applyBorder="1"/>
    <x:xf numFmtId="0" fontId="6" fillId="6" borderId="11" xfId="0" applyNumberFormat="1" applyFont="1" applyFill="1" applyBorder="1"/>
    <x:xf numFmtId="0" fontId="6" fillId="6" borderId="6" xfId="0" applyNumberFormat="1" applyFont="1" applyFill="1" applyBorder="1" applyAlignment="1">
      <x:alignment wrapText="1"/>
    </x:xf>
    <x:xf numFmtId="0" fontId="6" fillId="6" borderId="5" xfId="0" applyNumberFormat="1" applyFont="1" applyFill="1" applyBorder="1" applyAlignment="1">
      <x:alignment wrapText="1"/>
    </x:xf>
    <x:xf numFmtId="0" fontId="6" fillId="6" borderId="7" xfId="0" applyNumberFormat="1" applyFont="1" applyFill="1" applyBorder="1" applyAlignment="1">
      <x:alignment wrapText="1"/>
    </x:xf>
    <x:xf numFmtId="0" fontId="6" fillId="6" borderId="8" xfId="0" applyNumberFormat="1" applyFont="1" applyFill="1" applyBorder="1" applyAlignment="1">
      <x:alignment wrapText="1"/>
    </x:xf>
    <x:xf numFmtId="0" fontId="6" fillId="6" borderId="0" xfId="0" applyNumberFormat="1" applyFont="1" applyFill="1" applyBorder="1" applyAlignment="1">
      <x:alignment wrapText="1"/>
    </x:xf>
    <x:xf numFmtId="0" fontId="6" fillId="6" borderId="9" xfId="0" applyNumberFormat="1" applyFont="1" applyFill="1" applyBorder="1" applyAlignment="1">
      <x:alignment wrapText="1"/>
    </x:xf>
    <x:xf numFmtId="0" fontId="6" fillId="6" borderId="10" xfId="0" applyNumberFormat="1" applyFont="1" applyFill="1" applyBorder="1" applyAlignment="1">
      <x:alignment wrapText="1"/>
    </x:xf>
    <x:xf numFmtId="0" fontId="6" fillId="6" borderId="3" xfId="0" applyNumberFormat="1" applyFont="1" applyFill="1" applyBorder="1" applyAlignment="1">
      <x:alignment wrapText="1"/>
    </x:xf>
    <x:xf numFmtId="0" fontId="6" fillId="6" borderId="11" xfId="0" applyNumberFormat="1" applyFont="1" applyFill="1" applyBorder="1" applyAlignment="1">
      <x:alignment wrapText="1"/>
    </x:xf>
    <x:xf numFmtId="0" fontId="6" fillId="6" borderId="6" xfId="0" applyNumberFormat="1" applyFont="1" applyFill="1" applyBorder="1" applyAlignment="1">
      <x:alignment vertical="top" wrapText="1"/>
    </x:xf>
    <x:xf numFmtId="0" fontId="6" fillId="6" borderId="5" xfId="0" applyNumberFormat="1" applyFont="1" applyFill="1" applyBorder="1" applyAlignment="1">
      <x:alignment vertical="top" wrapText="1"/>
    </x:xf>
    <x:xf numFmtId="0" fontId="6" fillId="6" borderId="7" xfId="0" applyNumberFormat="1" applyFont="1" applyFill="1" applyBorder="1" applyAlignment="1">
      <x:alignment vertical="top" wrapText="1"/>
    </x:xf>
    <x:xf numFmtId="0" fontId="6" fillId="6" borderId="8" xfId="0" applyNumberFormat="1" applyFont="1" applyFill="1" applyBorder="1" applyAlignment="1">
      <x:alignment vertical="top" wrapText="1"/>
    </x:xf>
    <x:xf numFmtId="0" fontId="6" fillId="6" borderId="0" xfId="0" applyNumberFormat="1" applyFont="1" applyFill="1" applyBorder="1" applyAlignment="1">
      <x:alignment vertical="top" wrapText="1"/>
    </x:xf>
    <x:xf numFmtId="0" fontId="6" fillId="6" borderId="9" xfId="0" applyNumberFormat="1" applyFont="1" applyFill="1" applyBorder="1" applyAlignment="1">
      <x:alignment vertical="top" wrapText="1"/>
    </x:xf>
    <x:xf numFmtId="0" fontId="6" fillId="6" borderId="10" xfId="0" applyNumberFormat="1" applyFont="1" applyFill="1" applyBorder="1" applyAlignment="1">
      <x:alignment vertical="top" wrapText="1"/>
    </x:xf>
    <x:xf numFmtId="0" fontId="6" fillId="6" borderId="3" xfId="0" applyNumberFormat="1" applyFont="1" applyFill="1" applyBorder="1" applyAlignment="1">
      <x:alignment vertical="top" wrapText="1"/>
    </x:xf>
    <x:xf numFmtId="0" fontId="6" fillId="6" borderId="11" xfId="0" applyNumberFormat="1" applyFont="1" applyFill="1" applyBorder="1" applyAlignment="1">
      <x:alignment vertical="top" wrapText="1"/>
    </x:xf>
    <x:xf numFmtId="0" fontId="3" fillId="4" borderId="12" xfId="0" applyNumberFormat="1" applyFont="1" applyFill="1" applyBorder="1"/>
    <x:xf numFmtId="0" fontId="3" fillId="4" borderId="12" xfId="0" applyNumberFormat="1" applyFont="1" applyFill="1" applyBorder="1" applyAlignment="1">
      <x:alignment wrapText="1"/>
    </x:xf>
    <x:xf numFmtId="0" fontId="3" fillId="4" borderId="12" xfId="0" applyNumberFormat="1" applyFont="1" applyFill="1" applyBorder="1" applyAlignment="1">
      <x:alignment vertical="center" wrapText="1"/>
    </x:xf>
    <x:xf numFmtId="201" fontId="4" fillId="0" borderId="3" xfId="0" applyNumberFormat="1" applyFont="1" applyFill="1" applyBorder="1" applyAlignment="1">
      <x:alignment vertical="top" wrapText="1"/>
    </x:xf>
    <x:xf numFmtId="201" fontId="4" fillId="0" borderId="4" xfId="0" applyNumberFormat="1" applyFont="1" applyFill="1" applyBorder="1" applyAlignment="1">
      <x:alignment vertical="top" wrapText="1"/>
    </x:xf>
    <x:xf numFmtId="201" fontId="4" fillId="0" borderId="5" xfId="0" applyNumberFormat="1" applyFont="1" applyFill="1" applyBorder="1" applyAlignment="1">
      <x:alignment vertical="top" wrapText="1"/>
    </x:xf>
    <x:xf numFmtId="201" fontId="0" fillId="0" borderId="0" xfId="0" applyNumberFormat="1" applyFont="1" applyFill="1" applyBorder="1"/>
    <x:xf numFmtId="202" fontId="4" fillId="0" borderId="3" xfId="0" applyNumberFormat="1" applyFont="1" applyFill="1" applyBorder="1" applyAlignment="1">
      <x:alignment vertical="top" wrapText="1"/>
    </x:xf>
    <x:xf numFmtId="202" fontId="4" fillId="0" borderId="4" xfId="0" applyNumberFormat="1" applyFont="1" applyFill="1" applyBorder="1" applyAlignment="1">
      <x:alignment vertical="top" wrapText="1"/>
    </x:xf>
    <x:xf numFmtId="202" fontId="4" fillId="0" borderId="5" xfId="0" applyNumberFormat="1" applyFont="1" applyFill="1" applyBorder="1" applyAlignment="1">
      <x:alignment vertical="top" wrapText="1"/>
    </x:xf>
    <x:xf numFmtId="202" fontId="0" fillId="0" borderId="0" xfId="0" applyNumberFormat="1" applyFont="1" applyFill="1" applyBorder="1"/>
    <x:xf numFmtId="0" fontId="7" fillId="6" borderId="0" xfId="0" applyNumberFormat="1" applyFont="1" applyFill="1" applyBorder="1"/>
    <x:xf numFmtId="0" fontId="7" fillId="6" borderId="6" xfId="0" applyNumberFormat="1" applyFont="1" applyFill="1" applyBorder="1"/>
    <x:xf numFmtId="0" fontId="7" fillId="6" borderId="5" xfId="0" applyNumberFormat="1" applyFont="1" applyFill="1" applyBorder="1"/>
    <x:xf numFmtId="0" fontId="7" fillId="6" borderId="7" xfId="0" applyNumberFormat="1" applyFont="1" applyFill="1" applyBorder="1"/>
    <x:xf numFmtId="0" fontId="7" fillId="6" borderId="10" xfId="0" applyNumberFormat="1" applyFont="1" applyFill="1" applyBorder="1"/>
    <x:xf numFmtId="0" fontId="7" fillId="6" borderId="3" xfId="0" applyNumberFormat="1" applyFont="1" applyFill="1" applyBorder="1"/>
    <x:xf numFmtId="0" fontId="7" fillId="6" borderId="11" xfId="0" applyNumberFormat="1" applyFont="1" applyFill="1" applyBorder="1"/>
    <x:xf numFmtId="0" fontId="7" fillId="6" borderId="6" xfId="0" applyNumberFormat="1" applyFont="1" applyFill="1" applyBorder="1" applyAlignment="1">
      <x:alignment wrapText="1"/>
    </x:xf>
    <x:xf numFmtId="0" fontId="7" fillId="6" borderId="5" xfId="0" applyNumberFormat="1" applyFont="1" applyFill="1" applyBorder="1" applyAlignment="1">
      <x:alignment wrapText="1"/>
    </x:xf>
    <x:xf numFmtId="0" fontId="7" fillId="6" borderId="7" xfId="0" applyNumberFormat="1" applyFont="1" applyFill="1" applyBorder="1" applyAlignment="1">
      <x:alignment wrapText="1"/>
    </x:xf>
    <x:xf numFmtId="0" fontId="7" fillId="6" borderId="10" xfId="0" applyNumberFormat="1" applyFont="1" applyFill="1" applyBorder="1" applyAlignment="1">
      <x:alignment wrapText="1"/>
    </x:xf>
    <x:xf numFmtId="0" fontId="7" fillId="6" borderId="3" xfId="0" applyNumberFormat="1" applyFont="1" applyFill="1" applyBorder="1" applyAlignment="1">
      <x:alignment wrapText="1"/>
    </x:xf>
    <x:xf numFmtId="0" fontId="7" fillId="6" borderId="11" xfId="0" applyNumberFormat="1" applyFont="1" applyFill="1" applyBorder="1" applyAlignment="1">
      <x:alignment wrapText="1"/>
    </x:xf>
    <x:xf numFmtId="0" fontId="7" fillId="6" borderId="6" xfId="0" applyNumberFormat="1" applyFont="1" applyFill="1" applyBorder="1" applyAlignment="1">
      <x:alignment vertical="center" wrapText="1"/>
    </x:xf>
    <x:xf numFmtId="0" fontId="7" fillId="6" borderId="5" xfId="0" applyNumberFormat="1" applyFont="1" applyFill="1" applyBorder="1" applyAlignment="1">
      <x:alignment vertical="center" wrapText="1"/>
    </x:xf>
    <x:xf numFmtId="0" fontId="7" fillId="6" borderId="7" xfId="0" applyNumberFormat="1" applyFont="1" applyFill="1" applyBorder="1" applyAlignment="1">
      <x:alignment vertical="center" wrapText="1"/>
    </x:xf>
    <x:xf numFmtId="0" fontId="7" fillId="6" borderId="10" xfId="0" applyNumberFormat="1" applyFont="1" applyFill="1" applyBorder="1" applyAlignment="1">
      <x:alignment vertical="center" wrapText="1"/>
    </x:xf>
    <x:xf numFmtId="0" fontId="7" fillId="6" borderId="3" xfId="0" applyNumberFormat="1" applyFont="1" applyFill="1" applyBorder="1" applyAlignment="1">
      <x:alignment vertical="center" wrapText="1"/>
    </x:xf>
    <x:xf numFmtId="0" fontId="7" fillId="6" borderId="11" xfId="0" applyNumberFormat="1" applyFont="1" applyFill="1" applyBorder="1" applyAlignment="1">
      <x:alignment vertical="center" wrapText="1"/>
    </x:xf>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7" borderId="0" xfId="0" applyNumberFormat="1" applyFont="1" applyFill="1" applyBorder="1"/>
    <x:xf numFmtId="0" fontId="8" fillId="7" borderId="0" xfId="0" applyNumberFormat="1" applyFont="1" applyFill="1" applyBorder="1"/>
    <x:xf numFmtId="0" fontId="8" fillId="7" borderId="13" xfId="0" applyNumberFormat="1" applyFont="1" applyFill="1" applyBorder="1"/>
    <x:xf numFmtId="0" fontId="8" fillId="7" borderId="14" xfId="0" applyNumberFormat="1" applyFont="1" applyFill="1" applyBorder="1"/>
    <x:xf numFmtId="0" fontId="8" fillId="7" borderId="15" xfId="0" applyNumberFormat="1" applyFont="1" applyFill="1" applyBorder="1"/>
    <x:xf numFmtId="0" fontId="8" fillId="7" borderId="16" xfId="0" applyNumberFormat="1" applyFont="1" applyFill="1" applyBorder="1"/>
    <x:xf numFmtId="0" fontId="8" fillId="7" borderId="17" xfId="0" applyNumberFormat="1" applyFont="1" applyFill="1" applyBorder="1"/>
    <x:xf numFmtId="0" fontId="8" fillId="7" borderId="18" xfId="0" applyNumberFormat="1" applyFont="1" applyFill="1" applyBorder="1"/>
    <x:xf numFmtId="0" fontId="8" fillId="7" borderId="19" xfId="0" applyNumberFormat="1" applyFont="1" applyFill="1" applyBorder="1"/>
    <x:xf numFmtId="0" fontId="8" fillId="7" borderId="20" xfId="0" applyNumberFormat="1" applyFont="1" applyFill="1" applyBorder="1"/>
    <x:xf numFmtId="0" fontId="8" fillId="7" borderId="13" xfId="0" applyNumberFormat="1" applyFont="1" applyFill="1" applyBorder="1" applyAlignment="1">
      <x:alignment horizontal="center"/>
    </x:xf>
    <x:xf numFmtId="0" fontId="8" fillId="7" borderId="14" xfId="0" applyNumberFormat="1" applyFont="1" applyFill="1" applyBorder="1" applyAlignment="1">
      <x:alignment horizontal="center"/>
    </x:xf>
    <x:xf numFmtId="0" fontId="8" fillId="7" borderId="15" xfId="0" applyNumberFormat="1" applyFont="1" applyFill="1" applyBorder="1" applyAlignment="1">
      <x:alignment horizontal="center"/>
    </x:xf>
    <x:xf numFmtId="0" fontId="8" fillId="7" borderId="16" xfId="0" applyNumberFormat="1" applyFont="1" applyFill="1" applyBorder="1" applyAlignment="1">
      <x:alignment horizontal="center"/>
    </x:xf>
    <x:xf numFmtId="0" fontId="8" fillId="7" borderId="0" xfId="0" applyNumberFormat="1" applyFont="1" applyFill="1" applyBorder="1" applyAlignment="1">
      <x:alignment horizontal="center"/>
    </x:xf>
    <x:xf numFmtId="0" fontId="8" fillId="7" borderId="17" xfId="0" applyNumberFormat="1" applyFont="1" applyFill="1" applyBorder="1" applyAlignment="1">
      <x:alignment horizontal="center"/>
    </x:xf>
    <x:xf numFmtId="0" fontId="8" fillId="7" borderId="18" xfId="0" applyNumberFormat="1" applyFont="1" applyFill="1" applyBorder="1" applyAlignment="1">
      <x:alignment horizontal="center"/>
    </x:xf>
    <x:xf numFmtId="0" fontId="8" fillId="7" borderId="19" xfId="0" applyNumberFormat="1" applyFont="1" applyFill="1" applyBorder="1" applyAlignment="1">
      <x:alignment horizontal="center"/>
    </x:xf>
    <x:xf numFmtId="0" fontId="8" fillId="7" borderId="20" xfId="0" applyNumberFormat="1" applyFont="1" applyFill="1" applyBorder="1" applyAlignment="1">
      <x:alignment horizontal="center"/>
    </x:xf>
    <x:xf numFmtId="0" fontId="8" fillId="7" borderId="13" xfId="0" applyNumberFormat="1" applyFont="1" applyFill="1" applyBorder="1" applyAlignment="1">
      <x:alignment horizontal="center" vertical="center"/>
    </x:xf>
    <x:xf numFmtId="0" fontId="8" fillId="7" borderId="14" xfId="0" applyNumberFormat="1" applyFont="1" applyFill="1" applyBorder="1" applyAlignment="1">
      <x:alignment horizontal="center" vertical="center"/>
    </x:xf>
    <x:xf numFmtId="0" fontId="8" fillId="7" borderId="15" xfId="0" applyNumberFormat="1" applyFont="1" applyFill="1" applyBorder="1" applyAlignment="1">
      <x:alignment horizontal="center" vertical="center"/>
    </x:xf>
    <x:xf numFmtId="0" fontId="8" fillId="7" borderId="16" xfId="0" applyNumberFormat="1" applyFont="1" applyFill="1" applyBorder="1" applyAlignment="1">
      <x:alignment horizontal="center" vertical="center"/>
    </x:xf>
    <x:xf numFmtId="0" fontId="8" fillId="7" borderId="0" xfId="0" applyNumberFormat="1" applyFont="1" applyFill="1" applyBorder="1" applyAlignment="1">
      <x:alignment horizontal="center" vertical="center"/>
    </x:xf>
    <x:xf numFmtId="0" fontId="8" fillId="7" borderId="17" xfId="0" applyNumberFormat="1" applyFont="1" applyFill="1" applyBorder="1" applyAlignment="1">
      <x:alignment horizontal="center" vertical="center"/>
    </x:xf>
    <x:xf numFmtId="0" fontId="8" fillId="7" borderId="18" xfId="0" applyNumberFormat="1" applyFont="1" applyFill="1" applyBorder="1" applyAlignment="1">
      <x:alignment horizontal="center" vertical="center"/>
    </x:xf>
    <x:xf numFmtId="0" fontId="8" fillId="7" borderId="19" xfId="0" applyNumberFormat="1" applyFont="1" applyFill="1" applyBorder="1" applyAlignment="1">
      <x:alignment horizontal="center" vertical="center"/>
    </x:xf>
    <x:xf numFmtId="0" fontId="8" fillId="7" borderId="20" xfId="0" applyNumberFormat="1" applyFont="1" applyFill="1" applyBorder="1" applyAlignment="1">
      <x:alignment horizontal="center" vertical="center"/>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3" fillId="8" borderId="0" xfId="0" applyNumberFormat="1" applyFont="1" applyFill="1" applyBorder="1" applyAlignment="1">
      <x:alignment horizontal="center" vertical="center"/>
    </x:xf>
    <x:xf numFmtId="0" fontId="9" fillId="7" borderId="0" xfId="0" applyNumberFormat="1" applyFont="1" applyFill="1" applyBorder="1"/>
    <x:xf numFmtId="0" fontId="9" fillId="7" borderId="21" xfId="0" applyNumberFormat="1" applyFont="1" applyFill="1" applyBorder="1"/>
    <x:xf numFmtId="0" fontId="9" fillId="7" borderId="22" xfId="0" applyNumberFormat="1" applyFont="1" applyFill="1" applyBorder="1"/>
    <x:xf numFmtId="0" fontId="9" fillId="7" borderId="23" xfId="0" applyNumberFormat="1" applyFont="1" applyFill="1" applyBorder="1"/>
    <x:xf numFmtId="0" fontId="9" fillId="7" borderId="24" xfId="0" applyNumberFormat="1" applyFont="1" applyFill="1" applyBorder="1"/>
    <x:xf numFmtId="0" fontId="9" fillId="7" borderId="25" xfId="0" applyNumberFormat="1" applyFont="1" applyFill="1" applyBorder="1"/>
    <x:xf numFmtId="0" fontId="9" fillId="7" borderId="26" xfId="0" applyNumberFormat="1" applyFont="1" applyFill="1" applyBorder="1"/>
    <x:xf numFmtId="0" fontId="9" fillId="7" borderId="27" xfId="0" applyNumberFormat="1" applyFont="1" applyFill="1" applyBorder="1"/>
    <x:xf numFmtId="0" fontId="9" fillId="7" borderId="28" xfId="0" applyNumberFormat="1" applyFont="1" applyFill="1" applyBorder="1"/>
    <x:xf numFmtId="0" fontId="9" fillId="7" borderId="21" xfId="0" applyNumberFormat="1" applyFont="1" applyFill="1" applyBorder="1" applyAlignment="1">
      <x:alignment horizontal="center"/>
    </x:xf>
    <x:xf numFmtId="0" fontId="9" fillId="7" borderId="22" xfId="0" applyNumberFormat="1" applyFont="1" applyFill="1" applyBorder="1" applyAlignment="1">
      <x:alignment horizontal="center"/>
    </x:xf>
    <x:xf numFmtId="0" fontId="9" fillId="7" borderId="23" xfId="0" applyNumberFormat="1" applyFont="1" applyFill="1" applyBorder="1" applyAlignment="1">
      <x:alignment horizontal="center"/>
    </x:xf>
    <x:xf numFmtId="0" fontId="9" fillId="7" borderId="24" xfId="0" applyNumberFormat="1" applyFont="1" applyFill="1" applyBorder="1" applyAlignment="1">
      <x:alignment horizontal="center"/>
    </x:xf>
    <x:xf numFmtId="0" fontId="9" fillId="7" borderId="0" xfId="0" applyNumberFormat="1" applyFont="1" applyFill="1" applyBorder="1" applyAlignment="1">
      <x:alignment horizontal="center"/>
    </x:xf>
    <x:xf numFmtId="0" fontId="9" fillId="7" borderId="25" xfId="0" applyNumberFormat="1" applyFont="1" applyFill="1" applyBorder="1" applyAlignment="1">
      <x:alignment horizontal="center"/>
    </x:xf>
    <x:xf numFmtId="0" fontId="9" fillId="7" borderId="26" xfId="0" applyNumberFormat="1" applyFont="1" applyFill="1" applyBorder="1" applyAlignment="1">
      <x:alignment horizontal="center"/>
    </x:xf>
    <x:xf numFmtId="0" fontId="9" fillId="7" borderId="27" xfId="0" applyNumberFormat="1" applyFont="1" applyFill="1" applyBorder="1" applyAlignment="1">
      <x:alignment horizontal="center"/>
    </x:xf>
    <x:xf numFmtId="0" fontId="9" fillId="7" borderId="28" xfId="0" applyNumberFormat="1" applyFont="1" applyFill="1" applyBorder="1" applyAlignment="1">
      <x:alignment horizontal="center"/>
    </x:xf>
    <x:xf numFmtId="0" fontId="9" fillId="7" borderId="21" xfId="0" applyNumberFormat="1" applyFont="1" applyFill="1" applyBorder="1" applyAlignment="1">
      <x:alignment horizontal="center" vertical="center"/>
    </x:xf>
    <x:xf numFmtId="0" fontId="9" fillId="7" borderId="22" xfId="0" applyNumberFormat="1" applyFont="1" applyFill="1" applyBorder="1" applyAlignment="1">
      <x:alignment horizontal="center" vertical="center"/>
    </x:xf>
    <x:xf numFmtId="0" fontId="9" fillId="7" borderId="23" xfId="0" applyNumberFormat="1" applyFont="1" applyFill="1" applyBorder="1" applyAlignment="1">
      <x:alignment horizontal="center" vertical="center"/>
    </x:xf>
    <x:xf numFmtId="0" fontId="9" fillId="7" borderId="24" xfId="0" applyNumberFormat="1" applyFont="1" applyFill="1" applyBorder="1" applyAlignment="1">
      <x:alignment horizontal="center" vertical="center"/>
    </x:xf>
    <x:xf numFmtId="0" fontId="9" fillId="7" borderId="0" xfId="0" applyNumberFormat="1" applyFont="1" applyFill="1" applyBorder="1" applyAlignment="1">
      <x:alignment horizontal="center" vertical="center"/>
    </x:xf>
    <x:xf numFmtId="0" fontId="9" fillId="7" borderId="25" xfId="0" applyNumberFormat="1" applyFont="1" applyFill="1" applyBorder="1" applyAlignment="1">
      <x:alignment horizontal="center" vertical="center"/>
    </x:xf>
    <x:xf numFmtId="0" fontId="9" fillId="7" borderId="26" xfId="0" applyNumberFormat="1" applyFont="1" applyFill="1" applyBorder="1" applyAlignment="1">
      <x:alignment horizontal="center" vertical="center"/>
    </x:xf>
    <x:xf numFmtId="0" fontId="9" fillId="7" borderId="27" xfId="0" applyNumberFormat="1" applyFont="1" applyFill="1" applyBorder="1" applyAlignment="1">
      <x:alignment horizontal="center" vertical="center"/>
    </x:xf>
    <x:xf numFmtId="0" fontId="9" fillId="7" borderId="28" xfId="0" applyNumberFormat="1" applyFont="1" applyFill="1" applyBorder="1" applyAlignment="1">
      <x:alignment horizontal="center" vertical="center"/>
    </x:xf>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vertical="center"/>
    </x:xf>
    <x:xf numFmtId="0" fontId="10" fillId="7" borderId="0" xfId="0" applyNumberFormat="1" applyFont="1" applyFill="1" applyBorder="1"/>
    <x:xf numFmtId="0" fontId="10" fillId="7" borderId="29" xfId="0" applyNumberFormat="1" applyFont="1" applyFill="1" applyBorder="1"/>
    <x:xf numFmtId="0" fontId="10" fillId="7" borderId="30" xfId="0" applyNumberFormat="1" applyFont="1" applyFill="1" applyBorder="1"/>
    <x:xf numFmtId="0" fontId="10" fillId="7" borderId="31" xfId="0" applyNumberFormat="1" applyFont="1" applyFill="1" applyBorder="1"/>
    <x:xf numFmtId="0" fontId="10" fillId="7" borderId="32" xfId="0" applyNumberFormat="1" applyFont="1" applyFill="1" applyBorder="1"/>
    <x:xf numFmtId="0" fontId="10" fillId="7" borderId="33" xfId="0" applyNumberFormat="1" applyFont="1" applyFill="1" applyBorder="1"/>
    <x:xf numFmtId="0" fontId="10" fillId="7" borderId="34" xfId="0" applyNumberFormat="1" applyFont="1" applyFill="1" applyBorder="1"/>
    <x:xf numFmtId="0" fontId="10" fillId="7" borderId="35" xfId="0" applyNumberFormat="1" applyFont="1" applyFill="1" applyBorder="1"/>
    <x:xf numFmtId="0" fontId="10" fillId="7" borderId="36" xfId="0" applyNumberFormat="1" applyFont="1" applyFill="1" applyBorder="1"/>
    <x:xf numFmtId="0" fontId="10" fillId="7" borderId="29" xfId="0" applyNumberFormat="1" applyFont="1" applyFill="1" applyBorder="1" applyAlignment="1">
      <x:alignment horizontal="center"/>
    </x:xf>
    <x:xf numFmtId="0" fontId="10" fillId="7" borderId="30" xfId="0" applyNumberFormat="1" applyFont="1" applyFill="1" applyBorder="1" applyAlignment="1">
      <x:alignment horizontal="center"/>
    </x:xf>
    <x:xf numFmtId="0" fontId="10" fillId="7" borderId="31" xfId="0" applyNumberFormat="1" applyFont="1" applyFill="1" applyBorder="1" applyAlignment="1">
      <x:alignment horizontal="center"/>
    </x:xf>
    <x:xf numFmtId="0" fontId="10" fillId="7" borderId="32" xfId="0" applyNumberFormat="1" applyFont="1" applyFill="1" applyBorder="1" applyAlignment="1">
      <x:alignment horizontal="center"/>
    </x:xf>
    <x:xf numFmtId="0" fontId="10" fillId="7" borderId="0" xfId="0" applyNumberFormat="1" applyFont="1" applyFill="1" applyBorder="1" applyAlignment="1">
      <x:alignment horizontal="center"/>
    </x:xf>
    <x:xf numFmtId="0" fontId="10" fillId="7" borderId="33" xfId="0" applyNumberFormat="1" applyFont="1" applyFill="1" applyBorder="1" applyAlignment="1">
      <x:alignment horizontal="center"/>
    </x:xf>
    <x:xf numFmtId="0" fontId="10" fillId="7" borderId="34" xfId="0" applyNumberFormat="1" applyFont="1" applyFill="1" applyBorder="1" applyAlignment="1">
      <x:alignment horizontal="center"/>
    </x:xf>
    <x:xf numFmtId="0" fontId="10" fillId="7" borderId="35" xfId="0" applyNumberFormat="1" applyFont="1" applyFill="1" applyBorder="1" applyAlignment="1">
      <x:alignment horizontal="center"/>
    </x:xf>
    <x:xf numFmtId="0" fontId="10" fillId="7" borderId="36" xfId="0" applyNumberFormat="1" applyFont="1" applyFill="1" applyBorder="1" applyAlignment="1">
      <x:alignment horizontal="center"/>
    </x:xf>
    <x:xf numFmtId="0" fontId="10" fillId="7" borderId="29" xfId="0" applyNumberFormat="1" applyFont="1" applyFill="1" applyBorder="1" applyAlignment="1">
      <x:alignment horizontal="center" vertical="center"/>
    </x:xf>
    <x:xf numFmtId="0" fontId="10" fillId="7" borderId="30" xfId="0" applyNumberFormat="1" applyFont="1" applyFill="1" applyBorder="1" applyAlignment="1">
      <x:alignment horizontal="center" vertical="center"/>
    </x:xf>
    <x:xf numFmtId="0" fontId="10" fillId="7" borderId="31" xfId="0" applyNumberFormat="1" applyFont="1" applyFill="1" applyBorder="1" applyAlignment="1">
      <x:alignment horizontal="center" vertical="center"/>
    </x:xf>
    <x:xf numFmtId="0" fontId="10" fillId="7" borderId="32" xfId="0" applyNumberFormat="1" applyFont="1" applyFill="1" applyBorder="1" applyAlignment="1">
      <x:alignment horizontal="center" vertical="center"/>
    </x:xf>
    <x:xf numFmtId="0" fontId="10" fillId="7" borderId="0" xfId="0" applyNumberFormat="1" applyFont="1" applyFill="1" applyBorder="1" applyAlignment="1">
      <x:alignment horizontal="center" vertical="center"/>
    </x:xf>
    <x:xf numFmtId="0" fontId="10" fillId="7" borderId="33" xfId="0" applyNumberFormat="1" applyFont="1" applyFill="1" applyBorder="1" applyAlignment="1">
      <x:alignment horizontal="center" vertical="center"/>
    </x:xf>
    <x:xf numFmtId="0" fontId="10" fillId="7" borderId="34" xfId="0" applyNumberFormat="1" applyFont="1" applyFill="1" applyBorder="1" applyAlignment="1">
      <x:alignment horizontal="center" vertical="center"/>
    </x:xf>
    <x:xf numFmtId="0" fontId="10" fillId="7" borderId="35" xfId="0" applyNumberFormat="1" applyFont="1" applyFill="1" applyBorder="1" applyAlignment="1">
      <x:alignment horizontal="center" vertical="center"/>
    </x:xf>
    <x:xf numFmtId="0" fontId="10" fillId="7" borderId="36" xfId="0" applyNumberFormat="1" applyFont="1" applyFill="1" applyBorder="1" applyAlignment="1">
      <x:alignment horizontal="center" vertical="center"/>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horizontal="center"/>
    </x:xf>
    <x:xf numFmtId="0" fontId="3" fillId="9" borderId="0" xfId="0" applyNumberFormat="1" applyFont="1" applyFill="1" applyBorder="1" applyAlignment="1">
      <x:alignment horizontal="center" vertical="center"/>
    </x:xf>
    <x:xf numFmtId="0" fontId="11" fillId="7" borderId="0" xfId="0" applyNumberFormat="1" applyFont="1" applyFill="1" applyBorder="1"/>
    <x:xf numFmtId="0" fontId="11" fillId="7" borderId="37" xfId="0" applyNumberFormat="1" applyFont="1" applyFill="1" applyBorder="1"/>
    <x:xf numFmtId="0" fontId="11" fillId="7" borderId="38" xfId="0" applyNumberFormat="1" applyFont="1" applyFill="1" applyBorder="1"/>
    <x:xf numFmtId="0" fontId="11" fillId="7" borderId="39" xfId="0" applyNumberFormat="1" applyFont="1" applyFill="1" applyBorder="1"/>
    <x:xf numFmtId="0" fontId="11" fillId="7" borderId="40" xfId="0" applyNumberFormat="1" applyFont="1" applyFill="1" applyBorder="1"/>
    <x:xf numFmtId="0" fontId="11" fillId="7" borderId="41" xfId="0" applyNumberFormat="1" applyFont="1" applyFill="1" applyBorder="1"/>
    <x:xf numFmtId="0" fontId="11" fillId="7" borderId="42" xfId="0" applyNumberFormat="1" applyFont="1" applyFill="1" applyBorder="1"/>
    <x:xf numFmtId="0" fontId="11" fillId="7" borderId="43" xfId="0" applyNumberFormat="1" applyFont="1" applyFill="1" applyBorder="1"/>
    <x:xf numFmtId="0" fontId="11" fillId="7" borderId="44" xfId="0" applyNumberFormat="1" applyFont="1" applyFill="1" applyBorder="1"/>
    <x:xf numFmtId="0" fontId="11" fillId="7" borderId="37" xfId="0" applyNumberFormat="1" applyFont="1" applyFill="1" applyBorder="1" applyAlignment="1">
      <x:alignment horizontal="center"/>
    </x:xf>
    <x:xf numFmtId="0" fontId="11" fillId="7" borderId="38" xfId="0" applyNumberFormat="1" applyFont="1" applyFill="1" applyBorder="1" applyAlignment="1">
      <x:alignment horizontal="center"/>
    </x:xf>
    <x:xf numFmtId="0" fontId="11" fillId="7" borderId="39" xfId="0" applyNumberFormat="1" applyFont="1" applyFill="1" applyBorder="1" applyAlignment="1">
      <x:alignment horizontal="center"/>
    </x:xf>
    <x:xf numFmtId="0" fontId="11" fillId="7" borderId="40" xfId="0" applyNumberFormat="1" applyFont="1" applyFill="1" applyBorder="1" applyAlignment="1">
      <x:alignment horizontal="center"/>
    </x:xf>
    <x:xf numFmtId="0" fontId="11" fillId="7" borderId="0" xfId="0" applyNumberFormat="1" applyFont="1" applyFill="1" applyBorder="1" applyAlignment="1">
      <x:alignment horizontal="center"/>
    </x:xf>
    <x:xf numFmtId="0" fontId="11" fillId="7" borderId="41" xfId="0" applyNumberFormat="1" applyFont="1" applyFill="1" applyBorder="1" applyAlignment="1">
      <x:alignment horizontal="center"/>
    </x:xf>
    <x:xf numFmtId="0" fontId="11" fillId="7" borderId="42" xfId="0" applyNumberFormat="1" applyFont="1" applyFill="1" applyBorder="1" applyAlignment="1">
      <x:alignment horizontal="center"/>
    </x:xf>
    <x:xf numFmtId="0" fontId="11" fillId="7" borderId="43" xfId="0" applyNumberFormat="1" applyFont="1" applyFill="1" applyBorder="1" applyAlignment="1">
      <x:alignment horizontal="center"/>
    </x:xf>
    <x:xf numFmtId="0" fontId="11" fillId="7" borderId="44" xfId="0" applyNumberFormat="1" applyFont="1" applyFill="1" applyBorder="1" applyAlignment="1">
      <x:alignment horizontal="center"/>
    </x:xf>
    <x:xf numFmtId="0" fontId="11" fillId="7" borderId="37" xfId="0" applyNumberFormat="1" applyFont="1" applyFill="1" applyBorder="1" applyAlignment="1">
      <x:alignment horizontal="center" vertical="center"/>
    </x:xf>
    <x:xf numFmtId="0" fontId="11" fillId="7" borderId="38" xfId="0" applyNumberFormat="1" applyFont="1" applyFill="1" applyBorder="1" applyAlignment="1">
      <x:alignment horizontal="center" vertical="center"/>
    </x:xf>
    <x:xf numFmtId="0" fontId="11" fillId="7" borderId="39" xfId="0" applyNumberFormat="1" applyFont="1" applyFill="1" applyBorder="1" applyAlignment="1">
      <x:alignment horizontal="center" vertical="center"/>
    </x:xf>
    <x:xf numFmtId="0" fontId="11" fillId="7" borderId="40" xfId="0" applyNumberFormat="1" applyFont="1" applyFill="1" applyBorder="1" applyAlignment="1">
      <x:alignment horizontal="center" vertical="center"/>
    </x:xf>
    <x:xf numFmtId="0" fontId="11" fillId="7" borderId="0" xfId="0" applyNumberFormat="1" applyFont="1" applyFill="1" applyBorder="1" applyAlignment="1">
      <x:alignment horizontal="center" vertical="center"/>
    </x:xf>
    <x:xf numFmtId="0" fontId="11" fillId="7" borderId="41" xfId="0" applyNumberFormat="1" applyFont="1" applyFill="1" applyBorder="1" applyAlignment="1">
      <x:alignment horizontal="center" vertical="center"/>
    </x:xf>
    <x:xf numFmtId="0" fontId="11" fillId="7" borderId="42" xfId="0" applyNumberFormat="1" applyFont="1" applyFill="1" applyBorder="1" applyAlignment="1">
      <x:alignment horizontal="center" vertical="center"/>
    </x:xf>
    <x:xf numFmtId="0" fontId="11" fillId="7" borderId="43" xfId="0" applyNumberFormat="1" applyFont="1" applyFill="1" applyBorder="1" applyAlignment="1">
      <x:alignment horizontal="center" vertical="center"/>
    </x:xf>
    <x:xf numFmtId="0" fontId="11" fillId="7" borderId="44" xfId="0" applyNumberFormat="1" applyFont="1" applyFill="1" applyBorder="1" applyAlignment="1">
      <x:alignment horizontal="center" vertical="center"/>
    </x:xf>
    <x:xf numFmtId="0" fontId="5" fillId="2" borderId="0" xfId="0" applyNumberFormat="1" applyFont="1" applyFill="1" applyBorder="1"/>
    <x:xf numFmtId="0" fontId="12" fillId="2" borderId="0" xfId="0" applyNumberFormat="1" applyFont="1" applyFill="1" applyBorder="1"/>
    <x:xf numFmtId="0" fontId="12" fillId="2" borderId="0" xfId="0" applyNumberFormat="1" applyFont="1" applyFill="1" applyBorder="1" applyAlignment="1">
      <x:alignment horizontal="center"/>
    </x:xf>
    <x:xf numFmtId="0" fontId="12" fillId="2" borderId="0" xfId="0" applyNumberFormat="1" applyFont="1" applyFill="1" applyBorder="1" applyAlignment="1">
      <x:alignment horizontal="center" vertical="center"/>
    </x:xf>
    <x:xf numFmtId="0" fontId="13" fillId="0" borderId="0" xfId="0" applyNumberFormat="1" applyFont="1" applyFill="1" applyBorder="1"/>
    <x:xf numFmtId="0" fontId="13" fillId="0" borderId="0" xfId="0" applyNumberFormat="1" applyFont="1" applyFill="1" applyBorder="1" applyAlignment="1">
      <x:alignment wrapText="1"/>
    </x:xf>
    <x:xf numFmtId="0" fontId="0" fillId="10" borderId="0" xfId="0" applyNumberFormat="1" applyFont="1" applyFill="1" applyBorder="1"/>
    <x:xf numFmtId="0" fontId="14" fillId="10" borderId="0" xfId="0" applyNumberFormat="1" applyFont="1" applyFill="1" applyBorder="1"/>
    <x:xf numFmtId="0" fontId="14" fillId="10" borderId="0" xfId="0" applyNumberFormat="1" applyFont="1" applyFill="1" applyBorder="1" applyAlignment="1">
      <x:alignment wrapText="1"/>
    </x:xf>
  </x:cellXfs>
  <x:cellStyles count="1">
    <x:cellStyle name="Normal" xfId="0"/>
  </x:cellStyles>
  <x:dxfs count="24">
    <x:dxf>
      <x:font>
        <x:b/>
        <x:color rgb="FFC00000"/>
      </x:font>
      <x:fill>
        <x:patternFill patternType="solid">
          <x:bgColor rgb="FFFCE8E6"/>
        </x:patternFill>
      </x:fill>
    </x:dxf>
    <x:dxf>
      <x:font>
        <x:b/>
        <x:color rgb="FFBF7200"/>
      </x:font>
      <x:fill>
        <x:patternFill patternType="solid">
          <x:bgColor rgb="FFFFF2CC"/>
        </x:patternFill>
      </x:fill>
    </x:dxf>
    <x:dxf>
      <x:font>
        <x:b/>
        <x:color rgb="FFC00000"/>
      </x:font>
      <x:fill>
        <x:patternFill patternType="solid">
          <x:bgColor rgb="FFFCE8E6"/>
        </x:patternFill>
      </x:fill>
    </x:dxf>
    <x:dxf>
      <x:font>
        <x:b/>
        <x:color rgb="FFBF7200"/>
      </x:font>
      <x:fill>
        <x:patternFill patternType="solid">
          <x:bgColor rgb="FFFFF2CC"/>
        </x:patternFill>
      </x:fill>
    </x:dxf>
    <x:dxf>
      <x:font>
        <x:b/>
        <x:color rgb="FF8A6D00"/>
      </x:font>
      <x:fill>
        <x:patternFill patternType="solid">
          <x:bgColor rgb="FFFFFCE6"/>
        </x:patternFill>
      </x:fill>
    </x:dxf>
    <x:dxf>
      <x:font>
        <x:b/>
        <x:color rgb="FF217346"/>
      </x:font>
      <x:fill>
        <x:patternFill patternType="solid">
          <x:bgColor rgb="FFE2F0D9"/>
        </x:patternFill>
      </x:fill>
    </x:dxf>
    <x:dxf>
      <x:font>
        <x:b/>
        <x:color rgb="FFC00000"/>
      </x:font>
      <x:fill>
        <x:patternFill patternType="solid">
          <x:bgColor rgb="FFFCE8E6"/>
        </x:patternFill>
      </x:fill>
    </x:dxf>
    <x:dxf>
      <x:font>
        <x:b/>
        <x:color rgb="FFBF7200"/>
      </x:font>
      <x:fill>
        <x:patternFill patternType="solid">
          <x:bgColor rgb="FFFFF2CC"/>
        </x:patternFill>
      </x:fill>
    </x:dxf>
    <x:dxf>
      <x:font>
        <x:b/>
        <x:color rgb="FF8A6D00"/>
      </x:font>
      <x:fill>
        <x:patternFill patternType="solid">
          <x:bgColor rgb="FFFFFCE6"/>
        </x:patternFill>
      </x:fill>
    </x:dxf>
    <x:dxf>
      <x:font>
        <x:b/>
        <x:color rgb="FF217346"/>
      </x:font>
      <x:fill>
        <x:patternFill patternType="solid">
          <x:bgColor rgb="FFE2F0D9"/>
        </x:patternFill>
      </x:fill>
    </x:dxf>
    <x:dxf>
      <x:font>
        <x:b/>
        <x:color rgb="FFC00000"/>
      </x:font>
      <x:fill>
        <x:patternFill patternType="solid">
          <x:bgColor rgb="FFFCE8E6"/>
        </x:patternFill>
      </x:fill>
    </x:dxf>
    <x:dxf>
      <x:font>
        <x:b/>
        <x:color rgb="FF217346"/>
      </x:font>
      <x:fill>
        <x:patternFill patternType="solid">
          <x:bgColor rgb="FFE2F0D9"/>
        </x:patternFill>
      </x:fill>
    </x:dxf>
    <x:dxf>
      <x:font>
        <x:color rgb="FF64748B"/>
      </x:font>
      <x:fill>
        <x:patternFill patternType="solid">
          <x:bgColor rgb="FFE7E6E6"/>
        </x:patternFill>
      </x:fill>
    </x:dxf>
    <x:dxf>
      <x:font>
        <x:b/>
        <x:color rgb="FFC00000"/>
      </x:font>
      <x:fill>
        <x:patternFill patternType="solid">
          <x:bgColor rgb="FFFCE8E6"/>
        </x:patternFill>
      </x:fill>
    </x:dxf>
    <x:dxf>
      <x:font>
        <x:b/>
        <x:color rgb="FFBF7200"/>
      </x:font>
      <x:fill>
        <x:patternFill patternType="solid">
          <x:bgColor rgb="FFFFF2CC"/>
        </x:patternFill>
      </x:fill>
    </x:dxf>
    <x:dxf>
      <x:font>
        <x:b/>
        <x:color rgb="FF8A6D00"/>
      </x:font>
      <x:fill>
        <x:patternFill patternType="solid">
          <x:bgColor rgb="FFFFFCE6"/>
        </x:patternFill>
      </x:fill>
    </x:dxf>
    <x:dxf>
      <x:font>
        <x:b/>
        <x:color rgb="FF217346"/>
      </x:font>
      <x:fill>
        <x:patternFill patternType="solid">
          <x:bgColor rgb="FFE2F0D9"/>
        </x:patternFill>
      </x:fill>
    </x:dxf>
    <x:dxf>
      <x:font>
        <x:b/>
        <x:color rgb="FFC00000"/>
      </x:font>
      <x:fill>
        <x:patternFill patternType="solid">
          <x:bgColor rgb="FFFCE8E6"/>
        </x:patternFill>
      </x:fill>
    </x:dxf>
    <x:dxf>
      <x:font>
        <x:b/>
        <x:color rgb="FFBF7200"/>
      </x:font>
      <x:fill>
        <x:patternFill patternType="solid">
          <x:bgColor rgb="FFFFF2CC"/>
        </x:patternFill>
      </x:fill>
    </x:dxf>
    <x:dxf>
      <x:font>
        <x:b/>
        <x:color rgb="FF217346"/>
      </x:font>
      <x:fill>
        <x:patternFill patternType="solid">
          <x:bgColor rgb="FFE2F0D9"/>
        </x:patternFill>
      </x:fill>
    </x:dxf>
    <x:dxf>
      <x:font>
        <x:b/>
        <x:color rgb="FFC00000"/>
      </x:font>
      <x:fill>
        <x:patternFill patternType="solid">
          <x:bgColor rgb="FFFCE8E6"/>
        </x:patternFill>
      </x:fill>
    </x:dxf>
    <x:dxf>
      <x:font>
        <x:b/>
        <x:color rgb="FFBF7200"/>
      </x:font>
      <x:fill>
        <x:patternFill patternType="solid">
          <x:bgColor rgb="FFFFF2CC"/>
        </x:patternFill>
      </x:fill>
    </x:dxf>
    <x:dxf>
      <x:font>
        <x:b/>
        <x:color rgb="FF8A6D00"/>
      </x:font>
      <x:fill>
        <x:patternFill patternType="solid">
          <x:bgColor rgb="FFFFFCE6"/>
        </x:patternFill>
      </x:fill>
    </x:dxf>
    <x:dxf>
      <x:font>
        <x:b/>
        <x:color rgb="FF217346"/>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2e0bf59455046b7" /><Relationship Type="http://schemas.openxmlformats.org/officeDocument/2006/relationships/theme" Target="/xl/theme/theme1.xml" Id="Rb999741d80b84931" /><Relationship Type="http://schemas.openxmlformats.org/officeDocument/2006/relationships/sharedStrings" Target="/xl/sharedStrings.xml" Id="R1836349bf56a4429" /><Relationship Type="http://schemas.openxmlformats.org/officeDocument/2006/relationships/worksheet" Target="/xl/worksheets/sheet1.xml" Id="R24f0800511f045ab" /><Relationship Type="http://schemas.openxmlformats.org/officeDocument/2006/relationships/worksheet" Target="/xl/worksheets/sheet2.xml" Id="Rd8834327b010457d" /><Relationship Type="http://schemas.openxmlformats.org/officeDocument/2006/relationships/worksheet" Target="/xl/worksheets/sheet3.xml" Id="R82b20715f2df4592" /><Relationship Type="http://schemas.openxmlformats.org/officeDocument/2006/relationships/worksheet" Target="/xl/worksheets/sheet4.xml" Id="R74cc95b18378456e" /><Relationship Type="http://schemas.openxmlformats.org/officeDocument/2006/relationships/worksheet" Target="/xl/worksheets/sheet5.xml" Id="R52edd6821249463c" /><Relationship Type="http://schemas.openxmlformats.org/officeDocument/2006/relationships/worksheet" Target="/xl/worksheets/sheet6.xml" Id="R4dc9c00e13694c23" /><Relationship Type="http://schemas.openxmlformats.org/officeDocument/2006/relationships/worksheet" Target="/xl/worksheets/sheet7.xml" Id="R9f466b7a49ba4e2a" /><Relationship Type="http://schemas.microsoft.com/office/2017/10/relationships/person" Target="/xl/persons/person.xml" Id="R92dec56aa7b348ae" /></Relationships>
</file>

<file path=xl/drawings/_rels/drawing1.xml.rels>&#65279;<?xml version="1.0" encoding="utf-8"?><Relationships xmlns="http://schemas.openxmlformats.org/package/2006/relationships"><Relationship Type="http://schemas.openxmlformats.org/officeDocument/2006/relationships/chart" Target="/xl/drawings/charts/chart1.xml" Id="R63a7cfd1ed1b4238" /><Relationship Type="http://schemas.openxmlformats.org/officeDocument/2006/relationships/chart" Target="/xl/drawings/charts/chart2.xml" Id="Rff4bc52e581a493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Residual risks require urgent treatment</a:t>
            </a:r>
          </a:p>
        </c:rich>
      </c:tx>
      <c:overlay val="0"/>
    </c:title>
    <c:plotArea>
      <c:barChart>
        <c:barDir val="col"/>
        <c:varyColors val="0"/>
        <c:ser>
          <c:idx val="0"/>
          <c:order val="0"/>
          <c:tx>
            <c:v>Count</c:v>
          </c:tx>
          <c:cat>
            <c:strRef>
              <c:f>'Executive Dashboard'!$A$16:$A$19</c:f>
              <c:strCache>
                <c:ptCount val="0"/>
              </c:strCache>
            </c:strRef>
          </c:cat>
          <c:val>
            <c:numRef>
              <c:f>'Executive Dashboard'!$B$16:$B$19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Remediation delivery status</a:t>
            </a:r>
          </a:p>
        </c:rich>
      </c:tx>
      <c:overlay val="0"/>
    </c:title>
    <c:plotArea>
      <c:doughnutChart>
        <c:ser>
          <c:idx val="0"/>
          <c:order val="0"/>
          <c:tx>
            <c:v>Count</c:v>
          </c:tx>
          <c:cat>
            <c:strRef>
              <c:f>'Executive Dashboard'!$H$16:$H$20</c:f>
              <c:strCache>
                <c:ptCount val="0"/>
              </c:strCache>
            </c:strRef>
          </c:cat>
          <c:val>
            <c:numRef>
              <c:f>'Executive Dashboard'!$I$16:$I$20</c:f>
              <c:numCache>
                <c:formatCode>General</c:formatCode>
                <c:ptCount val="0"/>
              </c:numCache>
            </c:numRef>
          </c:val>
        </c:ser>
      </c:doughnutChart>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14</xdr:row>
      <xdr:rowOff>0</xdr:rowOff>
    </xdr:from>
    <xdr:to>
      <xdr:col>7</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3a7cfd1ed1b4238"/>
        </a:graphicData>
      </a:graphic>
    </xdr:graphicFrame>
    <xdr:clientData/>
  </xdr:twoCellAnchor>
  <xdr:twoCellAnchor>
    <xdr:from>
      <xdr:col>9</xdr:col>
      <xdr:colOff>0</xdr:colOff>
      <xdr:row>14</xdr:row>
      <xdr:rowOff>0</xdr:rowOff>
    </xdr:from>
    <xdr:to>
      <xdr:col>14</xdr:col>
      <xdr:colOff>0</xdr:colOff>
      <xdr:row>25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f4bc52e581a493d"/>
        </a:graphicData>
      </a:graphic>
    </xdr:graphicFrame>
    <xdr:clientData/>
  </xdr:twoCellAnchor>
</xdr:wsDr>
</file>

<file path=xl/persons/person.xml><?xml version="1.0" encoding="utf-8"?>
<xltc:personList xmlns:xltc="http://schemas.microsoft.com/office/spreadsheetml/2018/threadedcomments">
  <xltc:person displayName="Sal Idriss" id="{F274BF47-F06B-405F-B1DE-288B1FC6BE5A}"/>
</xltc:personList>
</file>

<file path=xl/tables/table1.xml><?xml version="1.0" encoding="utf-8"?>
<x:table xmlns:x="http://schemas.openxmlformats.org/spreadsheetml/2006/main" id="1" name="ServerRegisterTable" displayName="ServerRegisterTable" ref="A5:R11" headerRowCount="1" totalsRowCount="0" totalsRowShown="0">
  <x:autoFilter ref="A5:R11"/>
  <x:tableColumns count="18">
    <x:tableColumn id="1" name="Server ID"/>
    <x:tableColumn id="2" name="Server name"/>
    <x:tableColumn id="3" name="Site / location"/>
    <x:tableColumn id="4" name="Environment"/>
    <x:tableColumn id="5" name="Platform"/>
    <x:tableColumn id="6" name="Operating system"/>
    <x:tableColumn id="7" name="OS version"/>
    <x:tableColumn id="8" name="Vendor support status"/>
    <x:tableColumn id="9" name="EOL date"/>
    <x:tableColumn id="10" name="Hosting model"/>
    <x:tableColumn id="11" name="Business service"/>
    <x:tableColumn id="12" name="Server owner"/>
    <x:tableColumn id="13" name="Technical owner"/>
    <x:tableColumn id="14" name="Internet exposed?"/>
    <x:tableColumn id="15" name="Last patch date"/>
    <x:tableColumn id="16" name="Backup status"/>
    <x:tableColumn id="17" name="Criticality"/>
    <x:tableColumn id="18" name="Notes"/>
  </x:tableColumns>
  <x:tableStyleInfo name="TableStyleMedium2" showFirstColumn="0" showLastColumn="0" showRowStripes="1" showColumnStripes="0"/>
</x:table>
</file>

<file path=xl/tables/table2.xml><?xml version="1.0" encoding="utf-8"?>
<x:table xmlns:x="http://schemas.openxmlformats.org/spreadsheetml/2006/main" id="2" name="ApplicationInventoryTable" displayName="ApplicationInventoryTable" ref="A5:AC14" headerRowCount="1" totalsRowCount="0" totalsRowShown="0">
  <x:autoFilter ref="A5:AC14"/>
  <x:tableColumns count="29">
    <x:tableColumn id="1" name="Application ID"/>
    <x:tableColumn id="2" name="Server ID"/>
    <x:tableColumn id="3" name="Application name"/>
    <x:tableColumn id="4" name="Purpose"/>
    <x:tableColumn id="5" name="Department"/>
    <x:tableColumn id="6" name="Business owner"/>
    <x:tableColumn id="7" name="Technical owner"/>
    <x:tableColumn id="8" name="Active?"/>
    <x:tableColumn id="9" name="Users"/>
    <x:tableColumn id="10" name="Data classification"/>
    <x:tableColumn id="11" name="Personal data?"/>
    <x:tableColumn id="12" name="Regulatory scope"/>
    <x:tableColumn id="13" name="Business criticality"/>
    <x:tableColumn id="14" name="Application version"/>
    <x:tableColumn id="15" name="Vendor"/>
    <x:tableColumn id="16" name="App support status"/>
    <x:tableColumn id="17" name="Database / storage"/>
    <x:tableColumn id="18" name="Upstream dependencies"/>
    <x:tableColumn id="19" name="Downstream dependencies"/>
    <x:tableColumn id="20" name="Service accounts"/>
    <x:tableColumn id="21" name="Certificates"/>
    <x:tableColumn id="22" name="Scheduled tasks"/>
    <x:tableColumn id="23" name="Backup tested?"/>
    <x:tableColumn id="24" name="RTO hours"/>
    <x:tableColumn id="25" name="RPO hours"/>
    <x:tableColumn id="26" name="Migration option"/>
    <x:tableColumn id="27" name="Target date"/>
    <x:tableColumn id="28" name="Migration test status"/>
    <x:tableColumn id="29" name="Comments"/>
  </x:tableColumns>
  <x:tableStyleInfo name="TableStyleMedium2" showFirstColumn="0" showLastColumn="0" showRowStripes="1" showColumnStripes="0"/>
</x:table>
</file>

<file path=xl/tables/table3.xml><?xml version="1.0" encoding="utf-8"?>
<x:table xmlns:x="http://schemas.openxmlformats.org/spreadsheetml/2006/main" id="3" name="DiscoveryQuestionnaireTable" displayName="DiscoveryQuestionnaireTable" ref="A5:I30" headerRowCount="1" totalsRowCount="0" totalsRowShown="0">
  <x:autoFilter ref="A5:I30"/>
  <x:tableColumns count="9">
    <x:tableColumn id="1" name="Question ID"/>
    <x:tableColumn id="2" name="Category"/>
    <x:tableColumn id="3" name="Question"/>
    <x:tableColumn id="4" name="Why it matters"/>
    <x:tableColumn id="5" name="Response"/>
    <x:tableColumn id="6" name="Evidence / source"/>
    <x:tableColumn id="7" name="Owner"/>
    <x:tableColumn id="8" name="Due date"/>
    <x:tableColumn id="9" name="Review status"/>
  </x:tableColumns>
  <x:tableStyleInfo name="TableStyleMedium2" showFirstColumn="0" showLastColumn="0" showRowStripes="1" showColumnStripes="0"/>
</x:table>
</file>

<file path=xl/tables/table4.xml><?xml version="1.0" encoding="utf-8"?>
<x:table xmlns:x="http://schemas.openxmlformats.org/spreadsheetml/2006/main" id="4" name="RiskAssessmentTable" displayName="RiskAssessmentTable" ref="A5:P12" headerRowCount="1" totalsRowCount="0" totalsRowShown="0">
  <x:autoFilter ref="A5:P12"/>
  <x:tableColumns count="16">
    <x:tableColumn id="1" name="Risk ID"/>
    <x:tableColumn id="2" name="Server ID"/>
    <x:tableColumn id="3" name="Application ID"/>
    <x:tableColumn id="4" name="Risk statement"/>
    <x:tableColumn id="5" name="Risk owner"/>
    <x:tableColumn id="6" name="Likelihood (1–5)"/>
    <x:tableColumn id="7" name="Impact (1–5)"/>
    <x:tableColumn id="8" name="Inherent score"/>
    <x:tableColumn id="9" name="Control effectiveness"/>
    <x:tableColumn id="10" name="Residual score"/>
    <x:tableColumn id="11" name="Residual rating"/>
    <x:tableColumn id="12" name="Treatment"/>
    <x:tableColumn id="13" name="Decision owner"/>
    <x:tableColumn id="14" name="Review date"/>
    <x:tableColumn id="15" name="Evidence"/>
    <x:tableColumn id="16" name="Status"/>
  </x:tableColumns>
  <x:tableStyleInfo name="TableStyleMedium2" showFirstColumn="0" showLastColumn="0" showRowStripes="1" showColumnStripes="0"/>
</x:table>
</file>

<file path=xl/tables/table5.xml><?xml version="1.0" encoding="utf-8"?>
<x:table xmlns:x="http://schemas.openxmlformats.org/spreadsheetml/2006/main" id="5" name="RemediationTrackerTable" displayName="RemediationTrackerTable" ref="A5:Q12" headerRowCount="1" totalsRowCount="0" totalsRowShown="0">
  <x:autoFilter ref="A5:Q12"/>
  <x:tableColumns count="17">
    <x:tableColumn id="1" name="Action ID"/>
    <x:tableColumn id="2" name="Risk ID"/>
    <x:tableColumn id="3" name="Server ID"/>
    <x:tableColumn id="4" name="Application ID"/>
    <x:tableColumn id="5" name="Remediation action"/>
    <x:tableColumn id="6" name="Treatment type"/>
    <x:tableColumn id="7" name="Priority"/>
    <x:tableColumn id="8" name="Owner"/>
    <x:tableColumn id="9" name="Start date"/>
    <x:tableColumn id="10" name="Due date"/>
    <x:tableColumn id="11" name="Status"/>
    <x:tableColumn id="12" name="% complete"/>
    <x:tableColumn id="13" name="Days to due"/>
    <x:tableColumn id="14" name="Schedule flag"/>
    <x:tableColumn id="15" name="Risk acceptance expiry"/>
    <x:tableColumn id="16" name="Approver"/>
    <x:tableColumn id="17" name="Evidence / up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A9" dT="2026-08-27T16:43:25.629" personId="{F274BF47-F06B-405F-B1DE-288B1FC6BE5A}" id="{A91D1F55-6DBD-35EA-B4BE-67007682D9CD}">
    <xltc:text>Formula-driven KPI. Update the Server Register and the dashboard will recalculate.</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237389ee19de4202" /><Relationship Type="http://schemas.openxmlformats.org/officeDocument/2006/relationships/vmlDrawing" Target="/xl/drawings/vmldrawing.vml" Id="Ra1eb7a52c831425e" /><Relationship Type="http://schemas.microsoft.com/office/2017/10/relationships/threadedComment" Target="/xl/threadedcomments/threadedcomment.xml" Id="R17008fb6b6a84bce" /><Relationship Type="http://schemas.openxmlformats.org/officeDocument/2006/relationships/drawing" Target="/xl/drawings/drawing1.xml" Id="R4c2731ad12be40c8" /></Relationships>
</file>

<file path=xl/worksheets/_rels/sheet2.xml.rels>&#65279;<?xml version="1.0" encoding="utf-8"?><Relationships xmlns="http://schemas.openxmlformats.org/package/2006/relationships"><Relationship Type="http://schemas.openxmlformats.org/officeDocument/2006/relationships/table" Target="/xl/tables/table1.xml" Id="R96f5abfb5f3746f1" /></Relationships>
</file>

<file path=xl/worksheets/_rels/sheet3.xml.rels>&#65279;<?xml version="1.0" encoding="utf-8"?><Relationships xmlns="http://schemas.openxmlformats.org/package/2006/relationships"><Relationship Type="http://schemas.openxmlformats.org/officeDocument/2006/relationships/table" Target="/xl/tables/table2.xml" Id="R931e6263e21e4991" /></Relationships>
</file>

<file path=xl/worksheets/_rels/sheet4.xml.rels>&#65279;<?xml version="1.0" encoding="utf-8"?><Relationships xmlns="http://schemas.openxmlformats.org/package/2006/relationships"><Relationship Type="http://schemas.openxmlformats.org/officeDocument/2006/relationships/table" Target="/xl/tables/table3.xml" Id="R7ed3609f27c44d96" /></Relationships>
</file>

<file path=xl/worksheets/_rels/sheet5.xml.rels>&#65279;<?xml version="1.0" encoding="utf-8"?><Relationships xmlns="http://schemas.openxmlformats.org/package/2006/relationships"><Relationship Type="http://schemas.openxmlformats.org/officeDocument/2006/relationships/table" Target="/xl/tables/table4.xml" Id="R8d1abaf9aeaa4e96" /></Relationships>
</file>

<file path=xl/worksheets/_rels/sheet6.xml.rels>&#65279;<?xml version="1.0" encoding="utf-8"?><Relationships xmlns="http://schemas.openxmlformats.org/package/2006/relationships"><Relationship Type="http://schemas.openxmlformats.org/officeDocument/2006/relationships/table" Target="/xl/tables/table5.xml" Id="Rddb76e0fea0a4496"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18" hidden="0" customWidth="1"/>
    <x:col min="3" max="3" width="18" hidden="0" customWidth="1"/>
    <x:col min="4" max="4" width="14" hidden="0" customWidth="1"/>
    <x:col min="5" max="5" width="14" hidden="0" customWidth="1"/>
    <x:col min="6" max="6" width="14" hidden="0" customWidth="1"/>
    <x:col min="7" max="7" width="3" hidden="0" customWidth="1"/>
    <x:col min="8" max="8" width="16" hidden="0" customWidth="1"/>
    <x:col min="9" max="9" width="12" hidden="0" customWidth="1"/>
    <x:col min="10" max="10" width="14" hidden="0" customWidth="1"/>
    <x:col min="11" max="11" width="14" hidden="0" customWidth="1"/>
    <x:col min="12" max="12" width="14" hidden="0" customWidth="1"/>
    <x:col min="13" max="13" width="12" hidden="0" customWidth="1"/>
    <x:col min="14" max="14" width="12" hidden="0" customWidth="1"/>
  </x:cols>
  <x:sheetData>
    <x:row r="1" ht="34" customHeight="1">
      <x:c r="A1" s="3" t="str">
        <x:v>IT End-of-Life Server &amp; Application Risk</x:v>
      </x:c>
    </x:row>
    <x:row r="2" ht="24" customHeight="1">
      <x:c r="A2" s="6" t="str">
        <x:v>Executive presentation dashboard | NorthStar Construction &amp; Engineering — fictional portfolio example</x:v>
      </x:c>
      <x:c r="B2" s="6"/>
      <x:c r="C2" s="6"/>
      <x:c r="D2" s="6"/>
      <x:c r="E2" s="6"/>
      <x:c r="F2" s="6"/>
      <x:c r="G2" s="6"/>
      <x:c r="H2" s="6"/>
      <x:c r="I2" s="6"/>
      <x:c r="J2" s="6"/>
      <x:c r="K2" s="6"/>
      <x:c r="L2" s="6"/>
      <x:c r="M2" s="6"/>
      <x:c r="N2" s="6"/>
    </x:row>
    <x:row r="4">
      <x:c r="A4" s="37" t="str">
        <x:v>Executive position</x:v>
      </x:c>
      <x:c r="B4" s="37"/>
      <x:c r="C4" s="37"/>
      <x:c r="D4" s="37"/>
      <x:c r="E4" s="37"/>
      <x:c r="F4" s="37"/>
      <x:c r="G4" s="37"/>
      <x:c r="H4" s="37"/>
      <x:c r="I4" s="37"/>
      <x:c r="J4" s="37"/>
      <x:c r="K4" s="37"/>
      <x:c r="L4" s="37"/>
      <x:c r="M4" s="37"/>
      <x:c r="N4" s="37"/>
    </x:row>
    <x:row r="5">
      <x:c r="A5" s="90" t="str">
        <x:v>Five of six servers are at or approaching end of vendor support: three are already EOL and two are in extended support. The most urgent exposures are the internet-accessible project-document platform and the unsupported CCTV service. Migration decisions must be based on application ownership, data sensitivity, technical dependencies and recovery requirements—not operating-system status alone.</x:v>
      </x:c>
      <x:c r="B5" s="91"/>
      <x:c r="C5" s="91"/>
      <x:c r="D5" s="91"/>
      <x:c r="E5" s="91"/>
      <x:c r="F5" s="91"/>
      <x:c r="G5" s="91"/>
      <x:c r="H5" s="91"/>
      <x:c r="I5" s="91"/>
      <x:c r="J5" s="91"/>
      <x:c r="K5" s="91"/>
      <x:c r="L5" s="91"/>
      <x:c r="M5" s="91"/>
      <x:c r="N5" s="92"/>
    </x:row>
    <x:row r="6">
      <x:c r="A6" s="93"/>
      <x:c r="B6" s="94"/>
      <x:c r="C6" s="94"/>
      <x:c r="D6" s="94"/>
      <x:c r="E6" s="94"/>
      <x:c r="F6" s="94"/>
      <x:c r="G6" s="94"/>
      <x:c r="H6" s="94"/>
      <x:c r="I6" s="94"/>
      <x:c r="J6" s="94"/>
      <x:c r="K6" s="94"/>
      <x:c r="L6" s="94"/>
      <x:c r="M6" s="94"/>
      <x:c r="N6" s="95"/>
    </x:row>
    <x:row r="8">
      <x:c r="A8" s="97" t="str">
        <x:v>Servers assessed</x:v>
      </x:c>
      <x:c r="B8" s="97"/>
      <x:c r="C8" s="97"/>
      <x:c r="D8" s="129" t="str">
        <x:v>EOL servers</x:v>
      </x:c>
      <x:c r="E8" s="129"/>
      <x:c r="F8" s="129"/>
      <x:c r="G8" s="159" t="str">
        <x:v>Applications mapped</x:v>
      </x:c>
      <x:c r="H8" s="159"/>
      <x:c r="I8" s="159"/>
      <x:c r="J8" s="190" t="str">
        <x:v>Critical applications</x:v>
      </x:c>
      <x:c r="K8" s="190"/>
      <x:c r="L8" s="190"/>
      <x:c r="M8" s="129" t="str">
        <x:v>High / critical risks</x:v>
      </x:c>
      <x:c r="N8" s="129"/>
    </x:row>
    <x:row r="9">
      <x:c r="A9" s="117" t="n">
        <x:f>COUNTA('Server Register'!A6:A55)</x:f>
        <x:v>6</x:v>
      </x:c>
      <x:c r="B9" s="118"/>
      <x:c r="C9" s="119"/>
      <x:c r="D9" s="148" t="n">
        <x:f>COUNTIF('Server Register'!H6:H55,"End of Life")</x:f>
        <x:v>3</x:v>
      </x:c>
      <x:c r="E9" s="149"/>
      <x:c r="F9" s="150"/>
      <x:c r="G9" s="178" t="n">
        <x:f>COUNTA('Application Inventory'!A6:A105)</x:f>
        <x:v>9</x:v>
      </x:c>
      <x:c r="H9" s="179"/>
      <x:c r="I9" s="180"/>
      <x:c r="J9" s="209" t="n">
        <x:f>COUNTIF('Application Inventory'!M6:M105,"Critical")</x:f>
        <x:v>3</x:v>
      </x:c>
      <x:c r="K9" s="210"/>
      <x:c r="L9" s="211"/>
      <x:c r="M9" s="148" t="n">
        <x:f>COUNTIF('Risk Assessment'!K6:K105,"High")+COUNTIF('Risk Assessment'!K6:K105,"Critical")</x:f>
        <x:v>5</x:v>
      </x:c>
      <x:c r="N9" s="150"/>
    </x:row>
    <x:row r="10">
      <x:c r="A10" s="120"/>
      <x:c r="B10" s="121"/>
      <x:c r="C10" s="122"/>
      <x:c r="D10" s="151"/>
      <x:c r="E10" s="152"/>
      <x:c r="F10" s="153"/>
      <x:c r="G10" s="181"/>
      <x:c r="H10" s="182"/>
      <x:c r="I10" s="183"/>
      <x:c r="J10" s="212"/>
      <x:c r="K10" s="213"/>
      <x:c r="L10" s="214"/>
      <x:c r="M10" s="151"/>
      <x:c r="N10" s="153"/>
    </x:row>
    <x:row r="11">
      <x:c r="A11" s="123"/>
      <x:c r="B11" s="124"/>
      <x:c r="C11" s="125"/>
      <x:c r="D11" s="154"/>
      <x:c r="E11" s="155"/>
      <x:c r="F11" s="156"/>
      <x:c r="G11" s="184"/>
      <x:c r="H11" s="185"/>
      <x:c r="I11" s="186"/>
      <x:c r="J11" s="215"/>
      <x:c r="K11" s="216"/>
      <x:c r="L11" s="217"/>
      <x:c r="M11" s="154"/>
      <x:c r="N11" s="156"/>
    </x:row>
    <x:row r="14">
      <x:c r="A14" s="218" t="str">
        <x:v>Risk profile</x:v>
      </x:c>
      <x:c r="B14" s="218"/>
      <x:c r="C14" s="218"/>
      <x:c r="D14" s="218"/>
      <x:c r="E14" s="218"/>
      <x:c r="F14" s="218"/>
      <x:c r="H14" s="218" t="str">
        <x:v>Remediation status</x:v>
      </x:c>
      <x:c r="I14" s="218"/>
      <x:c r="J14" s="218"/>
      <x:c r="K14" s="218"/>
      <x:c r="L14" s="218"/>
      <x:c r="M14" s="218"/>
      <x:c r="N14" s="218"/>
    </x:row>
    <x:row r="15" ht="34" customHeight="1">
      <x:c r="A15" s="14" t="str">
        <x:v>Rating</x:v>
      </x:c>
      <x:c r="B15" s="15" t="str">
        <x:v>Count</x:v>
      </x:c>
      <x:c r="H15" s="14" t="str">
        <x:v>Status</x:v>
      </x:c>
      <x:c r="I15" s="15" t="str">
        <x:v>Count</x:v>
      </x:c>
    </x:row>
    <x:row r="16">
      <x:c r="A16" s="23" t="str">
        <x:v>Critical</x:v>
      </x:c>
      <x:c r="B16" s="23" t="n">
        <x:f>COUNTIF('Risk Assessment'!K6:K105,A16)</x:f>
        <x:v>4</x:v>
      </x:c>
      <x:c r="H16" s="23" t="str">
        <x:v>Not Started</x:v>
      </x:c>
      <x:c r="I16" s="23" t="n">
        <x:f>COUNTIF('Remediation Tracker'!K6:K105,H16)</x:f>
        <x:v>3</x:v>
      </x:c>
    </x:row>
    <x:row r="17">
      <x:c r="A17" s="24" t="str">
        <x:v>High</x:v>
      </x:c>
      <x:c r="B17" s="24" t="n">
        <x:f>COUNTIF('Risk Assessment'!K6:K105,A17)</x:f>
        <x:v>1</x:v>
      </x:c>
      <x:c r="H17" s="24" t="str">
        <x:v>In Progress</x:v>
      </x:c>
      <x:c r="I17" s="24" t="n">
        <x:f>COUNTIF('Remediation Tracker'!K6:K105,H17)</x:f>
        <x:v>3</x:v>
      </x:c>
    </x:row>
    <x:row r="18">
      <x:c r="A18" s="24" t="str">
        <x:v>Medium</x:v>
      </x:c>
      <x:c r="B18" s="24" t="n">
        <x:f>COUNTIF('Risk Assessment'!K6:K105,A18)</x:f>
        <x:v>1</x:v>
      </x:c>
      <x:c r="H18" s="24" t="str">
        <x:v>Blocked</x:v>
      </x:c>
      <x:c r="I18" s="24" t="n">
        <x:f>COUNTIF('Remediation Tracker'!K6:K105,H18)</x:f>
        <x:v>1</x:v>
      </x:c>
    </x:row>
    <x:row r="19">
      <x:c r="A19" s="25" t="str">
        <x:v>Low</x:v>
      </x:c>
      <x:c r="B19" s="25" t="n">
        <x:f>COUNTIF('Risk Assessment'!K6:K105,A19)</x:f>
        <x:v>1</x:v>
      </x:c>
      <x:c r="H19" s="24" t="str">
        <x:v>Completed</x:v>
      </x:c>
      <x:c r="I19" s="24" t="n">
        <x:f>COUNTIF('Remediation Tracker'!K6:K105,H19)</x:f>
        <x:v>0</x:v>
      </x:c>
    </x:row>
    <x:row r="20">
      <x:c r="H20" s="25" t="str">
        <x:v>Accepted</x:v>
      </x:c>
      <x:c r="I20" s="25" t="n">
        <x:f>COUNTIF('Remediation Tracker'!K6:K105,H20)</x:f>
        <x:v>0</x:v>
      </x:c>
    </x:row>
    <x:row r="27">
      <x:c r="A27" s="37" t="str">
        <x:v>Management priorities</x:v>
      </x:c>
      <x:c r="B27" s="37"/>
      <x:c r="C27" s="37"/>
      <x:c r="D27" s="37"/>
      <x:c r="E27" s="37"/>
      <x:c r="F27" s="37"/>
      <x:c r="G27" s="37"/>
      <x:c r="H27" s="37"/>
      <x:c r="I27" s="37"/>
      <x:c r="J27" s="37"/>
      <x:c r="K27" s="37"/>
      <x:c r="L27" s="37"/>
      <x:c r="M27" s="37"/>
      <x:c r="N27" s="37"/>
    </x:row>
    <x:row r="28" ht="46" customHeight="1">
      <x:c r="A28" s="221" t="str">
        <x:v>1</x:v>
      </x:c>
      <x:c r="B28" s="223" t="str">
        <x:v>Contain internet-exposed EOL services</x:v>
      </x:c>
      <x:c r="C28" s="20" t="str">
        <x:v>Confirm reverse-proxy/WAF controls, restrict access and accelerate the SiteDocs upgrade.</x:v>
      </x:c>
      <x:c r="D28" s="20" t="str">
        <x:v>Owner: Regional IT</x:v>
      </x:c>
      <x:c r="E28" s="20" t="str">
        <x:v>Due: 2026-10-31</x:v>
      </x:c>
      <x:c r="F28" s="20"/>
      <x:c r="G28" s="20"/>
      <x:c r="H28" s="20"/>
      <x:c r="I28" s="20"/>
      <x:c r="J28" s="20"/>
      <x:c r="K28" s="20"/>
      <x:c r="L28" s="20"/>
      <x:c r="M28" s="20"/>
      <x:c r="N28" s="20"/>
    </x:row>
    <x:row r="29" ht="46" customHeight="1">
      <x:c r="A29" s="221" t="str">
        <x:v>2</x:v>
      </x:c>
      <x:c r="B29" s="223" t="str">
        <x:v>Resolve CCTV recovery and compatibility blocker</x:v>
      </x:c>
      <x:c r="C29" s="21" t="str">
        <x:v>Choose a supported VMS platform and validate camera, retention and evidential-export requirements.</x:v>
      </x:c>
      <x:c r="D29" s="21" t="str">
        <x:v>Owner: Security Manager</x:v>
      </x:c>
      <x:c r="E29" s="21" t="str">
        <x:v>Due: 2026-09-30</x:v>
      </x:c>
      <x:c r="F29" s="21"/>
      <x:c r="G29" s="21"/>
      <x:c r="H29" s="21"/>
      <x:c r="I29" s="21"/>
      <x:c r="J29" s="21"/>
      <x:c r="K29" s="21"/>
      <x:c r="L29" s="21"/>
      <x:c r="M29" s="21"/>
      <x:c r="N29" s="21"/>
    </x:row>
    <x:row r="30" ht="46" customHeight="1">
      <x:c r="A30" s="221" t="str">
        <x:v>3</x:v>
      </x:c>
      <x:c r="B30" s="223" t="str">
        <x:v>Approve ERP replacement roadmap</x:v>
      </x:c>
      <x:c r="C30" s="21" t="str">
        <x:v>Protect supplier payments by confirming target platform, migration testing and rollback arrangements.</x:v>
      </x:c>
      <x:c r="D30" s="21" t="str">
        <x:v>Owner: Applications Manager</x:v>
      </x:c>
      <x:c r="E30" s="21" t="str">
        <x:v>Due: 2026-12-15</x:v>
      </x:c>
      <x:c r="F30" s="21"/>
      <x:c r="G30" s="21"/>
      <x:c r="H30" s="21"/>
      <x:c r="I30" s="21"/>
      <x:c r="J30" s="21"/>
      <x:c r="K30" s="21"/>
      <x:c r="L30" s="21"/>
      <x:c r="M30" s="21"/>
      <x:c r="N30" s="21"/>
    </x:row>
    <x:row r="31" ht="46" customHeight="1">
      <x:c r="A31" s="221" t="str">
        <x:v>4</x:v>
      </x:c>
      <x:c r="B31" s="223" t="str">
        <x:v>Govern temporary exceptions</x:v>
      </x:c>
      <x:c r="C31" s="21" t="str">
        <x:v>Time-limit any EOL acceptance, define compensating controls and require executive approval.</x:v>
      </x:c>
      <x:c r="D31" s="21" t="str">
        <x:v>Owner: CISO</x:v>
      </x:c>
      <x:c r="E31" s="21" t="str">
        <x:v>Monthly review</x:v>
      </x:c>
      <x:c r="F31" s="21"/>
      <x:c r="G31" s="21"/>
      <x:c r="H31" s="21"/>
      <x:c r="I31" s="21"/>
      <x:c r="J31" s="21"/>
      <x:c r="K31" s="21"/>
      <x:c r="L31" s="21"/>
      <x:c r="M31" s="21"/>
      <x:c r="N31" s="21"/>
    </x:row>
    <x:row r="32" ht="46" customHeight="1">
      <x:c r="A32" s="221" t="str">
        <x:v>5</x:v>
      </x:c>
      <x:c r="B32" s="223" t="str">
        <x:v>Validate application dependencies</x:v>
      </x:c>
      <x:c r="C32" s="22" t="str">
        <x:v>Complete owner interviews, backup restoration tests and target-environment compatibility checks.</x:v>
      </x:c>
      <x:c r="D32" s="22" t="str">
        <x:v>Owner: PMO</x:v>
      </x:c>
      <x:c r="E32" s="22" t="str">
        <x:v>Before change approval</x:v>
      </x:c>
      <x:c r="F32" s="22"/>
      <x:c r="G32" s="22"/>
      <x:c r="H32" s="22"/>
      <x:c r="I32" s="22"/>
      <x:c r="J32" s="22"/>
      <x:c r="K32" s="22"/>
      <x:c r="L32" s="22"/>
      <x:c r="M32" s="22"/>
      <x:c r="N32" s="22"/>
    </x:row>
    <x:row r="34">
      <x:c r="A34" s="226" t="str">
        <x:v>Portfolio disclaimer: All entities, systems, dates and findings in this workbook are simulated for learning and interview demonstration. They do not represent a live client environment.</x:v>
      </x:c>
      <x:c r="B34" s="226"/>
      <x:c r="C34" s="226"/>
      <x:c r="D34" s="226"/>
      <x:c r="E34" s="226"/>
      <x:c r="F34" s="226"/>
      <x:c r="G34" s="226"/>
      <x:c r="H34" s="226"/>
      <x:c r="I34" s="226"/>
      <x:c r="J34" s="226"/>
      <x:c r="K34" s="226"/>
      <x:c r="L34" s="226"/>
      <x:c r="M34" s="226"/>
      <x:c r="N34" s="226"/>
    </x:row>
  </x:sheetData>
  <x:mergeCells>
    <x:mergeCell ref="A1:N1"/>
    <x:mergeCell ref="A2:N2"/>
    <x:mergeCell ref="A4:N4"/>
    <x:mergeCell ref="A5:N6"/>
    <x:mergeCell ref="A8:C8"/>
    <x:mergeCell ref="A9:C11"/>
    <x:mergeCell ref="D8:F8"/>
    <x:mergeCell ref="D9:F11"/>
    <x:mergeCell ref="G8:I8"/>
    <x:mergeCell ref="G9:I11"/>
    <x:mergeCell ref="J8:L8"/>
    <x:mergeCell ref="J9:L11"/>
    <x:mergeCell ref="M8:N8"/>
    <x:mergeCell ref="M9:N11"/>
    <x:mergeCell ref="A14:F14"/>
    <x:mergeCell ref="H14:N14"/>
    <x:mergeCell ref="A27:N27"/>
    <x:mergeCell ref="A34:N34"/>
  </x:mergeCells>
  <x:conditionalFormatting sqref="A16:A19">
    <x:cfRule type="containsText" dxfId="20" priority="1" operator="containsText" text="Critical"/>
    <x:cfRule type="containsText" dxfId="21" priority="2" operator="containsText" text="High"/>
    <x:cfRule type="containsText" dxfId="22" priority="3" operator="containsText" text="Medium"/>
    <x:cfRule type="containsText" dxfId="23" priority="4" operator="containsText" text="Low"/>
  </x:conditionalFormatting>
  <x:pageMargins left="0.7" right="0.7" top="0.75" bottom="0.75" header="0.3" footer="0.3"/>
  <x:drawing xmlns:r="http://schemas.openxmlformats.org/officeDocument/2006/relationships" r:id="R4c2731ad12be40c8"/>
  <x:legacyDrawing xmlns:r="http://schemas.openxmlformats.org/officeDocument/2006/relationships" r:id="Ra1eb7a52c831425e"/>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20" hidden="0" customWidth="1"/>
    <x:col min="4" max="4" width="15" hidden="0" customWidth="1"/>
    <x:col min="5" max="5" width="15" hidden="0" customWidth="1"/>
    <x:col min="6" max="6" width="18" hidden="0" customWidth="1"/>
    <x:col min="7" max="7" width="14" hidden="0" customWidth="1"/>
    <x:col min="8" max="8" width="20" hidden="0" customWidth="1"/>
    <x:col min="9" max="9" width="12" hidden="0" customWidth="1"/>
    <x:col min="10" max="10" width="16" hidden="0" customWidth="1"/>
    <x:col min="11" max="11" width="22" hidden="0" customWidth="1"/>
    <x:col min="12" max="12" width="18" hidden="0" customWidth="1"/>
    <x:col min="13" max="13" width="18" hidden="0" customWidth="1"/>
    <x:col min="14" max="14" width="15" hidden="0" customWidth="1"/>
    <x:col min="15" max="15" width="14" hidden="0" customWidth="1"/>
    <x:col min="16" max="16" width="15" hidden="0" customWidth="1"/>
    <x:col min="17" max="17" width="12" hidden="0" customWidth="1"/>
    <x:col min="18" max="18" width="34" hidden="0" customWidth="1"/>
  </x:cols>
  <x:sheetData>
    <x:row r="1" ht="34" customHeight="1">
      <x:c r="A1" s="3" t="str">
        <x:v>Server Register</x:v>
      </x:c>
    </x:row>
    <x:row r="2" ht="24" customHeight="1">
      <x:c r="A2" s="6" t="str">
        <x:v>One row per server | NorthStar Construction &amp; Engineering — fictional portfolio scenario</x:v>
      </x:c>
      <x:c r="B2" s="6"/>
      <x:c r="C2" s="6"/>
      <x:c r="D2" s="6"/>
      <x:c r="E2" s="6"/>
      <x:c r="F2" s="6"/>
      <x:c r="G2" s="6"/>
      <x:c r="H2" s="6"/>
      <x:c r="I2" s="6"/>
      <x:c r="J2" s="6"/>
      <x:c r="K2" s="6"/>
      <x:c r="L2" s="6"/>
      <x:c r="M2" s="6"/>
      <x:c r="N2" s="6"/>
      <x:c r="O2" s="6"/>
      <x:c r="P2" s="6"/>
      <x:c r="Q2" s="6"/>
      <x:c r="R2" s="6"/>
    </x:row>
    <x:row r="5" ht="34" customHeight="1">
      <x:c r="A5" s="14" t="str">
        <x:v>Server ID</x:v>
      </x:c>
      <x:c r="B5" s="68" t="str">
        <x:v>Server name</x:v>
      </x:c>
      <x:c r="C5" s="68" t="str">
        <x:v>Site / location</x:v>
      </x:c>
      <x:c r="D5" s="68" t="str">
        <x:v>Environment</x:v>
      </x:c>
      <x:c r="E5" s="68" t="str">
        <x:v>Platform</x:v>
      </x:c>
      <x:c r="F5" s="68" t="str">
        <x:v>Operating system</x:v>
      </x:c>
      <x:c r="G5" s="68" t="str">
        <x:v>OS version</x:v>
      </x:c>
      <x:c r="H5" s="68" t="str">
        <x:v>Vendor support status</x:v>
      </x:c>
      <x:c r="I5" s="68" t="str">
        <x:v>EOL date</x:v>
      </x:c>
      <x:c r="J5" s="68" t="str">
        <x:v>Hosting model</x:v>
      </x:c>
      <x:c r="K5" s="68" t="str">
        <x:v>Business service</x:v>
      </x:c>
      <x:c r="L5" s="68" t="str">
        <x:v>Server owner</x:v>
      </x:c>
      <x:c r="M5" s="68" t="str">
        <x:v>Technical owner</x:v>
      </x:c>
      <x:c r="N5" s="68" t="str">
        <x:v>Internet exposed?</x:v>
      </x:c>
      <x:c r="O5" s="68" t="str">
        <x:v>Last patch date</x:v>
      </x:c>
      <x:c r="P5" s="68" t="str">
        <x:v>Backup status</x:v>
      </x:c>
      <x:c r="Q5" s="68" t="str">
        <x:v>Criticality</x:v>
      </x:c>
      <x:c r="R5" s="15" t="str">
        <x:v>Notes</x:v>
      </x:c>
    </x:row>
    <x:row r="6">
      <x:c r="A6" s="23" t="str">
        <x:v>SRV-001</x:v>
      </x:c>
      <x:c r="B6" s="23" t="str">
        <x:v>NST-ERP-01</x:v>
      </x:c>
      <x:c r="C6" s="23" t="str">
        <x:v>London HQ</x:v>
      </x:c>
      <x:c r="D6" s="23" t="str">
        <x:v>Production</x:v>
      </x:c>
      <x:c r="E6" s="23" t="str">
        <x:v>VMware VM</x:v>
      </x:c>
      <x:c r="F6" s="23" t="str">
        <x:v>Windows Server</x:v>
      </x:c>
      <x:c r="G6" s="23" t="str">
        <x:v>2012 R2</x:v>
      </x:c>
      <x:c r="H6" s="23" t="str">
        <x:v>End of Life</x:v>
      </x:c>
      <x:c r="I6" s="69" t="n">
        <x:v>45209</x:v>
      </x:c>
      <x:c r="J6" s="23" t="str">
        <x:v>On-premises</x:v>
      </x:c>
      <x:c r="K6" s="23" t="str">
        <x:v>Finance and procurement</x:v>
      </x:c>
      <x:c r="L6" s="23" t="str">
        <x:v>Finance Director</x:v>
      </x:c>
      <x:c r="M6" s="23" t="str">
        <x:v>Infrastructure Team</x:v>
      </x:c>
      <x:c r="N6" s="23" t="str">
        <x:v>No</x:v>
      </x:c>
      <x:c r="O6" s="69" t="n">
        <x:v>46154</x:v>
      </x:c>
      <x:c r="P6" s="23" t="str">
        <x:v>Successful</x:v>
      </x:c>
      <x:c r="Q6" s="23" t="str">
        <x:v>Critical</x:v>
      </x:c>
      <x:c r="R6" s="23" t="str">
        <x:v>Extended support has ended; ERP migration required.</x:v>
      </x:c>
    </x:row>
    <x:row r="7">
      <x:c r="A7" s="24" t="str">
        <x:v>SRV-002</x:v>
      </x:c>
      <x:c r="B7" s="24" t="str">
        <x:v>NST-DOC-01</x:v>
      </x:c>
      <x:c r="C7" s="24" t="str">
        <x:v>Gävle Project Site</x:v>
      </x:c>
      <x:c r="D7" s="24" t="str">
        <x:v>Production</x:v>
      </x:c>
      <x:c r="E7" s="24" t="str">
        <x:v>Physical</x:v>
      </x:c>
      <x:c r="F7" s="24" t="str">
        <x:v>Windows Server</x:v>
      </x:c>
      <x:c r="G7" s="24" t="str">
        <x:v>2012</x:v>
      </x:c>
      <x:c r="H7" s="24" t="str">
        <x:v>End of Life</x:v>
      </x:c>
      <x:c r="I7" s="70" t="n">
        <x:v>45209</x:v>
      </x:c>
      <x:c r="J7" s="24" t="str">
        <x:v>On-premises</x:v>
      </x:c>
      <x:c r="K7" s="24" t="str">
        <x:v>Document management</x:v>
      </x:c>
      <x:c r="L7" s="24" t="str">
        <x:v>Head of Projects</x:v>
      </x:c>
      <x:c r="M7" s="24" t="str">
        <x:v>Regional IT</x:v>
      </x:c>
      <x:c r="N7" s="24" t="str">
        <x:v>Yes</x:v>
      </x:c>
      <x:c r="O7" s="70" t="n">
        <x:v>46099</x:v>
      </x:c>
      <x:c r="P7" s="24" t="str">
        <x:v>Successful</x:v>
      </x:c>
      <x:c r="Q7" s="24" t="str">
        <x:v>High</x:v>
      </x:c>
      <x:c r="R7" s="24" t="str">
        <x:v>Legacy web component exposed through reverse proxy.</x:v>
      </x:c>
    </x:row>
    <x:row r="8">
      <x:c r="A8" s="24" t="str">
        <x:v>SRV-003</x:v>
      </x:c>
      <x:c r="B8" s="24" t="str">
        <x:v>NST-SQL-01</x:v>
      </x:c>
      <x:c r="C8" s="24" t="str">
        <x:v>London Data Centre</x:v>
      </x:c>
      <x:c r="D8" s="24" t="str">
        <x:v>Production</x:v>
      </x:c>
      <x:c r="E8" s="24" t="str">
        <x:v>VMware VM</x:v>
      </x:c>
      <x:c r="F8" s="24" t="str">
        <x:v>Windows Server</x:v>
      </x:c>
      <x:c r="G8" s="24" t="str">
        <x:v>2016</x:v>
      </x:c>
      <x:c r="H8" s="24" t="str">
        <x:v>Extended Support</x:v>
      </x:c>
      <x:c r="I8" s="70" t="n">
        <x:v>46399</x:v>
      </x:c>
      <x:c r="J8" s="24" t="str">
        <x:v>On-premises</x:v>
      </x:c>
      <x:c r="K8" s="24" t="str">
        <x:v>Project databases</x:v>
      </x:c>
      <x:c r="L8" s="24" t="str">
        <x:v>Applications Manager</x:v>
      </x:c>
      <x:c r="M8" s="24" t="str">
        <x:v>Database Team</x:v>
      </x:c>
      <x:c r="N8" s="24" t="str">
        <x:v>No</x:v>
      </x:c>
      <x:c r="O8" s="70" t="n">
        <x:v>46236</x:v>
      </x:c>
      <x:c r="P8" s="24" t="str">
        <x:v>Successful</x:v>
      </x:c>
      <x:c r="Q8" s="24" t="str">
        <x:v>Critical</x:v>
      </x:c>
      <x:c r="R8" s="24" t="str">
        <x:v>Several applications share the SQL instance.</x:v>
      </x:c>
    </x:row>
    <x:row r="9">
      <x:c r="A9" s="24" t="str">
        <x:v>SRV-004</x:v>
      </x:c>
      <x:c r="B9" s="24" t="str">
        <x:v>NST-CCTV-01</x:v>
      </x:c>
      <x:c r="C9" s="24" t="str">
        <x:v>Västerås Site</x:v>
      </x:c>
      <x:c r="D9" s="24" t="str">
        <x:v>Production</x:v>
      </x:c>
      <x:c r="E9" s="24" t="str">
        <x:v>Physical</x:v>
      </x:c>
      <x:c r="F9" s="24" t="str">
        <x:v>Windows Server</x:v>
      </x:c>
      <x:c r="G9" s="24" t="str">
        <x:v>2008 R2</x:v>
      </x:c>
      <x:c r="H9" s="24" t="str">
        <x:v>End of Life</x:v>
      </x:c>
      <x:c r="I9" s="70" t="n">
        <x:v>43844</x:v>
      </x:c>
      <x:c r="J9" s="24" t="str">
        <x:v>On-premises</x:v>
      </x:c>
      <x:c r="K9" s="24" t="str">
        <x:v>CCTV management</x:v>
      </x:c>
      <x:c r="L9" s="24" t="str">
        <x:v>Security Manager</x:v>
      </x:c>
      <x:c r="M9" s="24" t="str">
        <x:v>Regional IT</x:v>
      </x:c>
      <x:c r="N9" s="24" t="str">
        <x:v>No</x:v>
      </x:c>
      <x:c r="O9" s="70" t="n">
        <x:v>45982</x:v>
      </x:c>
      <x:c r="P9" s="24" t="str">
        <x:v>Failed</x:v>
      </x:c>
      <x:c r="Q9" s="24" t="str">
        <x:v>High</x:v>
      </x:c>
      <x:c r="R9" s="24" t="str">
        <x:v>Hardware warranty also expired.</x:v>
      </x:c>
    </x:row>
    <x:row r="10">
      <x:c r="A10" s="24" t="str">
        <x:v>SRV-005</x:v>
      </x:c>
      <x:c r="B10" s="24" t="str">
        <x:v>NST-FILE-02</x:v>
      </x:c>
      <x:c r="C10" s="24" t="str">
        <x:v>London HQ</x:v>
      </x:c>
      <x:c r="D10" s="24" t="str">
        <x:v>Production</x:v>
      </x:c>
      <x:c r="E10" s="24" t="str">
        <x:v>Hyper-V VM</x:v>
      </x:c>
      <x:c r="F10" s="24" t="str">
        <x:v>Windows Server</x:v>
      </x:c>
      <x:c r="G10" s="24" t="str">
        <x:v>2019</x:v>
      </x:c>
      <x:c r="H10" s="24" t="str">
        <x:v>Supported</x:v>
      </x:c>
      <x:c r="I10" s="70" t="n">
        <x:v>47127</x:v>
      </x:c>
      <x:c r="J10" s="24" t="str">
        <x:v>On-premises</x:v>
      </x:c>
      <x:c r="K10" s="24" t="str">
        <x:v>File services</x:v>
      </x:c>
      <x:c r="L10" s="24" t="str">
        <x:v>Operations Director</x:v>
      </x:c>
      <x:c r="M10" s="24" t="str">
        <x:v>Infrastructure Team</x:v>
      </x:c>
      <x:c r="N10" s="24" t="str">
        <x:v>No</x:v>
      </x:c>
      <x:c r="O10" s="70" t="n">
        <x:v>46249</x:v>
      </x:c>
      <x:c r="P10" s="24" t="str">
        <x:v>Successful</x:v>
      </x:c>
      <x:c r="Q10" s="24" t="str">
        <x:v>High</x:v>
      </x:c>
      <x:c r="R10" s="24" t="str">
        <x:v>Supported target for file migration.</x:v>
      </x:c>
    </x:row>
    <x:row r="11">
      <x:c r="A11" s="25" t="str">
        <x:v>SRV-006</x:v>
      </x:c>
      <x:c r="B11" s="25" t="str">
        <x:v>NST-TEST-01</x:v>
      </x:c>
      <x:c r="C11" s="25" t="str">
        <x:v>Azure UK South</x:v>
      </x:c>
      <x:c r="D11" s="25" t="str">
        <x:v>Test</x:v>
      </x:c>
      <x:c r="E11" s="25" t="str">
        <x:v>Azure VM</x:v>
      </x:c>
      <x:c r="F11" s="25" t="str">
        <x:v>Ubuntu Server</x:v>
      </x:c>
      <x:c r="G11" s="25" t="str">
        <x:v>20.04 LTS</x:v>
      </x:c>
      <x:c r="H11" s="25" t="str">
        <x:v>Extended Support</x:v>
      </x:c>
      <x:c r="I11" s="71" t="n">
        <x:v>47603</x:v>
      </x:c>
      <x:c r="J11" s="25" t="str">
        <x:v>Cloud</x:v>
      </x:c>
      <x:c r="K11" s="25" t="str">
        <x:v>Application testing</x:v>
      </x:c>
      <x:c r="L11" s="25" t="str">
        <x:v>Applications Manager</x:v>
      </x:c>
      <x:c r="M11" s="25" t="str">
        <x:v>Cloud Team</x:v>
      </x:c>
      <x:c r="N11" s="25" t="str">
        <x:v>No</x:v>
      </x:c>
      <x:c r="O11" s="71" t="n">
        <x:v>46231</x:v>
      </x:c>
      <x:c r="P11" s="25" t="str">
        <x:v>Successful</x:v>
      </x:c>
      <x:c r="Q11" s="25" t="str">
        <x:v>Low</x:v>
      </x:c>
      <x:c r="R11" s="25" t="str">
        <x:v>ESM subscription assumed for portfolio scenario.</x:v>
      </x:c>
    </x:row>
    <x:row r="12">
      <x:c r="I12" s="72"/>
      <x:c r="O12" s="72"/>
    </x:row>
    <x:row r="13">
      <x:c r="I13" s="72"/>
      <x:c r="O13" s="72"/>
    </x:row>
    <x:row r="14">
      <x:c r="I14" s="72"/>
      <x:c r="O14" s="72"/>
    </x:row>
    <x:row r="15">
      <x:c r="I15" s="72"/>
      <x:c r="O15" s="72"/>
    </x:row>
    <x:row r="16">
      <x:c r="I16" s="72"/>
      <x:c r="O16" s="72"/>
    </x:row>
    <x:row r="17">
      <x:c r="I17" s="72"/>
      <x:c r="O17" s="72"/>
    </x:row>
    <x:row r="18">
      <x:c r="I18" s="72"/>
      <x:c r="O18" s="72"/>
    </x:row>
    <x:row r="19">
      <x:c r="I19" s="72"/>
      <x:c r="O19" s="72"/>
    </x:row>
    <x:row r="20">
      <x:c r="I20" s="72"/>
      <x:c r="O20" s="72"/>
    </x:row>
    <x:row r="21">
      <x:c r="I21" s="72"/>
      <x:c r="O21" s="72"/>
    </x:row>
    <x:row r="22">
      <x:c r="I22" s="72"/>
      <x:c r="O22" s="72"/>
    </x:row>
    <x:row r="23">
      <x:c r="I23" s="72"/>
      <x:c r="O23" s="72"/>
    </x:row>
    <x:row r="24">
      <x:c r="I24" s="72"/>
      <x:c r="O24" s="72"/>
    </x:row>
    <x:row r="25">
      <x:c r="I25" s="72"/>
      <x:c r="O25" s="72"/>
    </x:row>
    <x:row r="26">
      <x:c r="I26" s="72"/>
      <x:c r="O26" s="72"/>
    </x:row>
    <x:row r="27">
      <x:c r="I27" s="72"/>
      <x:c r="O27" s="72"/>
    </x:row>
    <x:row r="28">
      <x:c r="I28" s="72"/>
      <x:c r="O28" s="72"/>
    </x:row>
    <x:row r="29">
      <x:c r="I29" s="72"/>
      <x:c r="O29" s="72"/>
    </x:row>
    <x:row r="30">
      <x:c r="I30" s="72"/>
      <x:c r="O30" s="72"/>
    </x:row>
    <x:row r="31">
      <x:c r="I31" s="72"/>
      <x:c r="O31" s="72"/>
    </x:row>
    <x:row r="32">
      <x:c r="I32" s="72"/>
      <x:c r="O32" s="72"/>
    </x:row>
    <x:row r="33">
      <x:c r="I33" s="72"/>
      <x:c r="O33" s="72"/>
    </x:row>
    <x:row r="34">
      <x:c r="I34" s="72"/>
      <x:c r="O34" s="72"/>
    </x:row>
    <x:row r="35">
      <x:c r="I35" s="72"/>
      <x:c r="O35" s="72"/>
    </x:row>
    <x:row r="36">
      <x:c r="I36" s="72"/>
      <x:c r="O36" s="72"/>
    </x:row>
    <x:row r="37">
      <x:c r="I37" s="72"/>
      <x:c r="O37" s="72"/>
    </x:row>
    <x:row r="38">
      <x:c r="I38" s="72"/>
      <x:c r="O38" s="72"/>
    </x:row>
    <x:row r="39">
      <x:c r="I39" s="72"/>
      <x:c r="O39" s="72"/>
    </x:row>
    <x:row r="40">
      <x:c r="I40" s="72"/>
      <x:c r="O40" s="72"/>
    </x:row>
    <x:row r="41">
      <x:c r="I41" s="72"/>
      <x:c r="O41" s="72"/>
    </x:row>
    <x:row r="42">
      <x:c r="I42" s="72"/>
      <x:c r="O42" s="72"/>
    </x:row>
    <x:row r="43">
      <x:c r="I43" s="72"/>
      <x:c r="O43" s="72"/>
    </x:row>
    <x:row r="44">
      <x:c r="I44" s="72"/>
      <x:c r="O44" s="72"/>
    </x:row>
    <x:row r="45">
      <x:c r="I45" s="72"/>
      <x:c r="O45" s="72"/>
    </x:row>
    <x:row r="46">
      <x:c r="I46" s="72"/>
      <x:c r="O46" s="72"/>
    </x:row>
    <x:row r="47">
      <x:c r="I47" s="72"/>
      <x:c r="O47" s="72"/>
    </x:row>
    <x:row r="48">
      <x:c r="I48" s="72"/>
      <x:c r="O48" s="72"/>
    </x:row>
    <x:row r="49">
      <x:c r="I49" s="72"/>
      <x:c r="O49" s="72"/>
    </x:row>
    <x:row r="50">
      <x:c r="I50" s="72"/>
      <x:c r="O50" s="72"/>
    </x:row>
    <x:row r="51">
      <x:c r="I51" s="72"/>
      <x:c r="O51" s="72"/>
    </x:row>
    <x:row r="52">
      <x:c r="I52" s="72"/>
      <x:c r="O52" s="72"/>
    </x:row>
    <x:row r="53">
      <x:c r="I53" s="72"/>
      <x:c r="O53" s="72"/>
    </x:row>
    <x:row r="54">
      <x:c r="I54" s="72"/>
      <x:c r="O54" s="72"/>
    </x:row>
    <x:row r="55">
      <x:c r="I55" s="72"/>
      <x:c r="O55" s="72"/>
    </x:row>
  </x:sheetData>
  <x:mergeCells>
    <x:mergeCell ref="A1:R1"/>
    <x:mergeCell ref="A2:R2"/>
  </x:mergeCells>
  <x:conditionalFormatting sqref="H6:H55">
    <x:cfRule type="containsText" dxfId="0" priority="1" operator="containsText" text="End of Life"/>
    <x:cfRule type="containsText" dxfId="1" priority="2" operator="containsText" text="Extended"/>
  </x:conditionalFormatting>
  <x:conditionalFormatting sqref="Q6:Q55">
    <x:cfRule type="containsText" dxfId="2" priority="3" operator="containsText" text="Critical"/>
    <x:cfRule type="containsText" dxfId="3" priority="4" operator="containsText" text="High"/>
    <x:cfRule type="containsText" dxfId="4" priority="5" operator="containsText" text="Medium"/>
    <x:cfRule type="containsText" dxfId="5" priority="6" operator="containsText" text="Low"/>
  </x:conditionalFormatting>
  <x:dataValidations count="5">
    <x:dataValidation type="list" sqref="D6:D55">
      <x:formula1>"Production,Test,Development,Disaster Recovery"</x:formula1>
    </x:dataValidation>
    <x:dataValidation type="list" sqref="H6:H55">
      <x:formula1>"Supported,Extended Support,End of Life,Unknown"</x:formula1>
    </x:dataValidation>
    <x:dataValidation type="list" sqref="N6:N55">
      <x:formula1>"Yes,No,Unknown"</x:formula1>
    </x:dataValidation>
    <x:dataValidation type="list" sqref="P6:P55">
      <x:formula1>"Successful,Failed,Not Tested,Unknown"</x:formula1>
    </x:dataValidation>
    <x:dataValidation type="list" sqref="Q6:Q55">
      <x:formula1>"Critical,High,Medium,Low"</x:formula1>
    </x:dataValidation>
  </x:dataValidations>
  <x:pageMargins left="0.7" right="0.7" top="0.75" bottom="0.75" header="0.3" footer="0.3"/>
  <x:tableParts count="1">
    <x:tablePart xmlns:r="http://schemas.openxmlformats.org/officeDocument/2006/relationships" r:id="R96f5abfb5f3746f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12" hidden="0" customWidth="1"/>
    <x:col min="3" max="3" width="22" hidden="0" customWidth="1"/>
    <x:col min="4" max="4" width="32" hidden="0" customWidth="1"/>
    <x:col min="5" max="5" width="16" hidden="0" customWidth="1"/>
    <x:col min="6" max="6" width="19" hidden="0" customWidth="1"/>
    <x:col min="7" max="7" width="19" hidden="0" customWidth="1"/>
    <x:col min="8" max="8" width="10" hidden="0" customWidth="1"/>
    <x:col min="9" max="9" width="9" hidden="0" customWidth="1"/>
    <x:col min="10" max="10" width="18" hidden="0" customWidth="1"/>
    <x:col min="11" max="11" width="14" hidden="0" customWidth="1"/>
    <x:col min="12" max="12" width="19" hidden="0" customWidth="1"/>
    <x:col min="13" max="13" width="17" hidden="0" customWidth="1"/>
    <x:col min="14" max="14" width="17" hidden="0" customWidth="1"/>
    <x:col min="15" max="15" width="16" hidden="0" customWidth="1"/>
    <x:col min="16" max="16" width="18" hidden="0" customWidth="1"/>
    <x:col min="17" max="17" width="20" hidden="0" customWidth="1"/>
    <x:col min="18" max="18" width="28" hidden="0" customWidth="1"/>
    <x:col min="19" max="19" width="28" hidden="0" customWidth="1"/>
    <x:col min="20" max="20" width="18" hidden="0" customWidth="1"/>
    <x:col min="21" max="21" width="16" hidden="0" customWidth="1"/>
    <x:col min="22" max="22" width="18" hidden="0" customWidth="1"/>
    <x:col min="23" max="23" width="14" hidden="0" customWidth="1"/>
    <x:col min="24" max="24" width="11" hidden="0" customWidth="1"/>
    <x:col min="25" max="25" width="11" hidden="0" customWidth="1"/>
    <x:col min="26" max="26" width="18" hidden="0" customWidth="1"/>
    <x:col min="27" max="27" width="13" hidden="0" customWidth="1"/>
    <x:col min="28" max="28" width="18" hidden="0" customWidth="1"/>
    <x:col min="29" max="29" width="32" hidden="0" customWidth="1"/>
  </x:cols>
  <x:sheetData>
    <x:row r="1" ht="34" customHeight="1">
      <x:c r="A1" s="3" t="str">
        <x:v>Application Inventory &amp; Dependency Map</x:v>
      </x:c>
    </x:row>
    <x:row r="2" ht="24" customHeight="1">
      <x:c r="A2" s="6" t="str">
        <x:v>One row per application on each server; supports migration and outage-impact decisions</x:v>
      </x:c>
      <x:c r="B2" s="6"/>
      <x:c r="C2" s="6"/>
      <x:c r="D2" s="6"/>
      <x:c r="E2" s="6"/>
      <x:c r="F2" s="6"/>
      <x:c r="G2" s="6"/>
      <x:c r="H2" s="6"/>
      <x:c r="I2" s="6"/>
      <x:c r="J2" s="6"/>
      <x:c r="K2" s="6"/>
      <x:c r="L2" s="6"/>
      <x:c r="M2" s="6"/>
      <x:c r="N2" s="6"/>
      <x:c r="O2" s="6"/>
      <x:c r="P2" s="6"/>
      <x:c r="Q2" s="6"/>
      <x:c r="R2" s="6"/>
      <x:c r="S2" s="6"/>
      <x:c r="T2" s="6"/>
      <x:c r="U2" s="6"/>
      <x:c r="V2" s="6"/>
      <x:c r="W2" s="6"/>
      <x:c r="X2" s="6"/>
      <x:c r="Y2" s="6"/>
      <x:c r="Z2" s="6"/>
      <x:c r="AA2" s="6"/>
      <x:c r="AB2" s="6"/>
      <x:c r="AC2" s="6"/>
    </x:row>
    <x:row r="5" ht="34" customHeight="1">
      <x:c r="A5" s="14" t="str">
        <x:v>Application ID</x:v>
      </x:c>
      <x:c r="B5" s="68" t="str">
        <x:v>Server ID</x:v>
      </x:c>
      <x:c r="C5" s="68" t="str">
        <x:v>Application name</x:v>
      </x:c>
      <x:c r="D5" s="68" t="str">
        <x:v>Purpose</x:v>
      </x:c>
      <x:c r="E5" s="68" t="str">
        <x:v>Department</x:v>
      </x:c>
      <x:c r="F5" s="68" t="str">
        <x:v>Business owner</x:v>
      </x:c>
      <x:c r="G5" s="68" t="str">
        <x:v>Technical owner</x:v>
      </x:c>
      <x:c r="H5" s="68" t="str">
        <x:v>Active?</x:v>
      </x:c>
      <x:c r="I5" s="68" t="str">
        <x:v>Users</x:v>
      </x:c>
      <x:c r="J5" s="68" t="str">
        <x:v>Data classification</x:v>
      </x:c>
      <x:c r="K5" s="68" t="str">
        <x:v>Personal data?</x:v>
      </x:c>
      <x:c r="L5" s="68" t="str">
        <x:v>Regulatory scope</x:v>
      </x:c>
      <x:c r="M5" s="68" t="str">
        <x:v>Business criticality</x:v>
      </x:c>
      <x:c r="N5" s="68" t="str">
        <x:v>Application version</x:v>
      </x:c>
      <x:c r="O5" s="68" t="str">
        <x:v>Vendor</x:v>
      </x:c>
      <x:c r="P5" s="68" t="str">
        <x:v>App support status</x:v>
      </x:c>
      <x:c r="Q5" s="68" t="str">
        <x:v>Database / storage</x:v>
      </x:c>
      <x:c r="R5" s="68" t="str">
        <x:v>Upstream dependencies</x:v>
      </x:c>
      <x:c r="S5" s="68" t="str">
        <x:v>Downstream dependencies</x:v>
      </x:c>
      <x:c r="T5" s="68" t="str">
        <x:v>Service accounts</x:v>
      </x:c>
      <x:c r="U5" s="68" t="str">
        <x:v>Certificates</x:v>
      </x:c>
      <x:c r="V5" s="68" t="str">
        <x:v>Scheduled tasks</x:v>
      </x:c>
      <x:c r="W5" s="68" t="str">
        <x:v>Backup tested?</x:v>
      </x:c>
      <x:c r="X5" s="68" t="str">
        <x:v>RTO hours</x:v>
      </x:c>
      <x:c r="Y5" s="68" t="str">
        <x:v>RPO hours</x:v>
      </x:c>
      <x:c r="Z5" s="68" t="str">
        <x:v>Migration option</x:v>
      </x:c>
      <x:c r="AA5" s="68" t="str">
        <x:v>Target date</x:v>
      </x:c>
      <x:c r="AB5" s="68" t="str">
        <x:v>Migration test status</x:v>
      </x:c>
      <x:c r="AC5" s="15" t="str">
        <x:v>Comments</x:v>
      </x:c>
    </x:row>
    <x:row r="6">
      <x:c r="A6" s="23" t="str">
        <x:v>APP-001</x:v>
      </x:c>
      <x:c r="B6" s="23" t="str">
        <x:v>SRV-001</x:v>
      </x:c>
      <x:c r="C6" s="23" t="str">
        <x:v>BuildCore ERP</x:v>
      </x:c>
      <x:c r="D6" s="23" t="str">
        <x:v>Finance, procurement and supplier payments</x:v>
      </x:c>
      <x:c r="E6" s="23" t="str">
        <x:v>Finance</x:v>
      </x:c>
      <x:c r="F6" s="23" t="str">
        <x:v>Finance Director</x:v>
      </x:c>
      <x:c r="G6" s="23" t="str">
        <x:v>Applications Manager</x:v>
      </x:c>
      <x:c r="H6" s="23" t="str">
        <x:v>Yes</x:v>
      </x:c>
      <x:c r="I6" s="23" t="n">
        <x:v>85</x:v>
      </x:c>
      <x:c r="J6" s="23" t="str">
        <x:v>Restricted</x:v>
      </x:c>
      <x:c r="K6" s="23" t="str">
        <x:v>Yes</x:v>
      </x:c>
      <x:c r="L6" s="23" t="str">
        <x:v>GDPR / financial controls</x:v>
      </x:c>
      <x:c r="M6" s="23" t="str">
        <x:v>Critical</x:v>
      </x:c>
      <x:c r="N6" s="23" t="str">
        <x:v>8.4</x:v>
      </x:c>
      <x:c r="O6" s="23" t="str">
        <x:v>BuildCore Ltd</x:v>
      </x:c>
      <x:c r="P6" s="23" t="str">
        <x:v>Unsupported</x:v>
      </x:c>
      <x:c r="Q6" s="23" t="str">
        <x:v>Local SQL database</x:v>
      </x:c>
      <x:c r="R6" s="23" t="str">
        <x:v>Active Directory; SMTP</x:v>
      </x:c>
      <x:c r="S6" s="23" t="str">
        <x:v>Payment file gateway</x:v>
      </x:c>
      <x:c r="T6" s="23" t="str">
        <x:v>svc_erp_batch</x:v>
      </x:c>
      <x:c r="U6" s="23" t="str">
        <x:v>TLS certificate</x:v>
      </x:c>
      <x:c r="V6" s="23" t="str">
        <x:v>Nightly invoice export</x:v>
      </x:c>
      <x:c r="W6" s="23" t="str">
        <x:v>Yes</x:v>
      </x:c>
      <x:c r="X6" s="23" t="n">
        <x:v>4</x:v>
      </x:c>
      <x:c r="Y6" s="23" t="n">
        <x:v>1</x:v>
      </x:c>
      <x:c r="Z6" s="23" t="str">
        <x:v>Replace</x:v>
      </x:c>
      <x:c r="AA6" s="69" t="n">
        <x:v>46371</x:v>
      </x:c>
      <x:c r="AB6" s="23" t="str">
        <x:v>Not Started</x:v>
      </x:c>
      <x:c r="AC6" s="23" t="str">
        <x:v>Move to supported SaaS ERP after data migration testing.</x:v>
      </x:c>
    </x:row>
    <x:row r="7">
      <x:c r="A7" s="24" t="str">
        <x:v>APP-002</x:v>
      </x:c>
      <x:c r="B7" s="24" t="str">
        <x:v>SRV-001</x:v>
      </x:c>
      <x:c r="C7" s="24" t="str">
        <x:v>Legacy Reporting Portal</x:v>
      </x:c>
      <x:c r="D7" s="24" t="str">
        <x:v>ERP management reporting</x:v>
      </x:c>
      <x:c r="E7" s="24" t="str">
        <x:v>Finance</x:v>
      </x:c>
      <x:c r="F7" s="24" t="str">
        <x:v>Financial Controller</x:v>
      </x:c>
      <x:c r="G7" s="24" t="str">
        <x:v>BI Lead</x:v>
      </x:c>
      <x:c r="H7" s="24" t="str">
        <x:v>Yes</x:v>
      </x:c>
      <x:c r="I7" s="24" t="n">
        <x:v>26</x:v>
      </x:c>
      <x:c r="J7" s="24" t="str">
        <x:v>Confidential</x:v>
      </x:c>
      <x:c r="K7" s="24" t="str">
        <x:v>Yes</x:v>
      </x:c>
      <x:c r="L7" s="24" t="str">
        <x:v>GDPR</x:v>
      </x:c>
      <x:c r="M7" s="24" t="str">
        <x:v>High</x:v>
      </x:c>
      <x:c r="N7" s="24" t="str">
        <x:v>3.2</x:v>
      </x:c>
      <x:c r="O7" s="24" t="str">
        <x:v>Internal</x:v>
      </x:c>
      <x:c r="P7" s="24" t="str">
        <x:v>Unsupported</x:v>
      </x:c>
      <x:c r="Q7" s="24" t="str">
        <x:v>BuildCore ERP database</x:v>
      </x:c>
      <x:c r="R7" s="24" t="str">
        <x:v>BuildCore ERP</x:v>
      </x:c>
      <x:c r="S7" s="24" t="str">
        <x:v>Executive reporting</x:v>
      </x:c>
      <x:c r="T7" s="24" t="str">
        <x:v>svc_report</x:v>
      </x:c>
      <x:c r="U7" s="24" t="str">
        <x:v>Internal TLS</x:v>
      </x:c>
      <x:c r="V7" s="24" t="str">
        <x:v>Daily report refresh</x:v>
      </x:c>
      <x:c r="W7" s="24" t="str">
        <x:v>No</x:v>
      </x:c>
      <x:c r="X7" s="24" t="n">
        <x:v>8</x:v>
      </x:c>
      <x:c r="Y7" s="24" t="n">
        <x:v>4</x:v>
      </x:c>
      <x:c r="Z7" s="24" t="str">
        <x:v>Replatform</x:v>
      </x:c>
      <x:c r="AA7" s="70" t="n">
        <x:v>46356</x:v>
      </x:c>
      <x:c r="AB7" s="24" t="str">
        <x:v>Planned</x:v>
      </x:c>
      <x:c r="AC7" s="24" t="str">
        <x:v>Dependency on legacy ERP schema.</x:v>
      </x:c>
    </x:row>
    <x:row r="8">
      <x:c r="A8" s="24" t="str">
        <x:v>APP-003</x:v>
      </x:c>
      <x:c r="B8" s="24" t="str">
        <x:v>SRV-002</x:v>
      </x:c>
      <x:c r="C8" s="24" t="str">
        <x:v>SiteDocs</x:v>
      </x:c>
      <x:c r="D8" s="24" t="str">
        <x:v>Construction drawings and method statements</x:v>
      </x:c>
      <x:c r="E8" s="24" t="str">
        <x:v>Projects</x:v>
      </x:c>
      <x:c r="F8" s="24" t="str">
        <x:v>Head of Projects</x:v>
      </x:c>
      <x:c r="G8" s="24" t="str">
        <x:v>Regional IT</x:v>
      </x:c>
      <x:c r="H8" s="24" t="str">
        <x:v>Yes</x:v>
      </x:c>
      <x:c r="I8" s="24" t="n">
        <x:v>140</x:v>
      </x:c>
      <x:c r="J8" s="24" t="str">
        <x:v>Confidential</x:v>
      </x:c>
      <x:c r="K8" s="24" t="str">
        <x:v>Yes</x:v>
      </x:c>
      <x:c r="L8" s="24" t="str">
        <x:v>GDPR / contractual</x:v>
      </x:c>
      <x:c r="M8" s="24" t="str">
        <x:v>Critical</x:v>
      </x:c>
      <x:c r="N8" s="24" t="str">
        <x:v>5.1</x:v>
      </x:c>
      <x:c r="O8" s="24" t="str">
        <x:v>SiteDocs AB</x:v>
      </x:c>
      <x:c r="P8" s="24" t="str">
        <x:v>Unsupported</x:v>
      </x:c>
      <x:c r="Q8" s="24" t="str">
        <x:v>Local file store</x:v>
      </x:c>
      <x:c r="R8" s="24" t="str">
        <x:v>Active Directory</x:v>
      </x:c>
      <x:c r="S8" s="24" t="str">
        <x:v>Site tablets; subcontractor portal</x:v>
      </x:c>
      <x:c r="T8" s="24" t="str">
        <x:v>svc_sitedocs</x:v>
      </x:c>
      <x:c r="U8" s="24" t="str">
        <x:v>Public TLS</x:v>
      </x:c>
      <x:c r="V8" s="24" t="str">
        <x:v>Nightly archive</x:v>
      </x:c>
      <x:c r="W8" s="24" t="str">
        <x:v>Yes</x:v>
      </x:c>
      <x:c r="X8" s="24" t="n">
        <x:v>4</x:v>
      </x:c>
      <x:c r="Y8" s="24" t="n">
        <x:v>2</x:v>
      </x:c>
      <x:c r="Z8" s="24" t="str">
        <x:v>Upgrade</x:v>
      </x:c>
      <x:c r="AA8" s="70" t="n">
        <x:v>46326</x:v>
      </x:c>
      <x:c r="AB8" s="24" t="str">
        <x:v>In Progress</x:v>
      </x:c>
      <x:c r="AC8" s="24" t="str">
        <x:v>External access requires additional controls until migration.</x:v>
      </x:c>
    </x:row>
    <x:row r="9">
      <x:c r="A9" s="24" t="str">
        <x:v>APP-004</x:v>
      </x:c>
      <x:c r="B9" s="24" t="str">
        <x:v>SRV-002</x:v>
      </x:c>
      <x:c r="C9" s="24" t="str">
        <x:v>Subcontractor Portal</x:v>
      </x:c>
      <x:c r="D9" s="24" t="str">
        <x:v>External document exchange</x:v>
      </x:c>
      <x:c r="E9" s="24" t="str">
        <x:v>Commercial</x:v>
      </x:c>
      <x:c r="F9" s="24" t="str">
        <x:v>Commercial Director</x:v>
      </x:c>
      <x:c r="G9" s="24" t="str">
        <x:v>Regional IT</x:v>
      </x:c>
      <x:c r="H9" s="24" t="str">
        <x:v>Yes</x:v>
      </x:c>
      <x:c r="I9" s="24" t="n">
        <x:v>65</x:v>
      </x:c>
      <x:c r="J9" s="24" t="str">
        <x:v>Restricted</x:v>
      </x:c>
      <x:c r="K9" s="24" t="str">
        <x:v>Yes</x:v>
      </x:c>
      <x:c r="L9" s="24" t="str">
        <x:v>GDPR / contractual</x:v>
      </x:c>
      <x:c r="M9" s="24" t="str">
        <x:v>High</x:v>
      </x:c>
      <x:c r="N9" s="24" t="str">
        <x:v>2.7</x:v>
      </x:c>
      <x:c r="O9" s="24" t="str">
        <x:v>Internal</x:v>
      </x:c>
      <x:c r="P9" s="24" t="str">
        <x:v>Unsupported</x:v>
      </x:c>
      <x:c r="Q9" s="24" t="str">
        <x:v>SiteDocs repository</x:v>
      </x:c>
      <x:c r="R9" s="24" t="str">
        <x:v>SiteDocs; reverse proxy</x:v>
      </x:c>
      <x:c r="S9" s="24" t="str">
        <x:v>External subcontractors</x:v>
      </x:c>
      <x:c r="T9" s="24" t="str">
        <x:v>svc_portal</x:v>
      </x:c>
      <x:c r="U9" s="24" t="str">
        <x:v>Public TLS</x:v>
      </x:c>
      <x:c r="V9" s="24" t="str">
        <x:v>Access review export</x:v>
      </x:c>
      <x:c r="W9" s="24" t="str">
        <x:v>No</x:v>
      </x:c>
      <x:c r="X9" s="24" t="n">
        <x:v>8</x:v>
      </x:c>
      <x:c r="Y9" s="24" t="n">
        <x:v>4</x:v>
      </x:c>
      <x:c r="Z9" s="24" t="str">
        <x:v>Replace</x:v>
      </x:c>
      <x:c r="AA9" s="70" t="n">
        <x:v>46326</x:v>
      </x:c>
      <x:c r="AB9" s="24" t="str">
        <x:v>Not Started</x:v>
      </x:c>
      <x:c r="AC9" s="24" t="str">
        <x:v>Fourth-party users must be revalidated.</x:v>
      </x:c>
    </x:row>
    <x:row r="10">
      <x:c r="A10" s="24" t="str">
        <x:v>APP-005</x:v>
      </x:c>
      <x:c r="B10" s="24" t="str">
        <x:v>SRV-003</x:v>
      </x:c>
      <x:c r="C10" s="24" t="str">
        <x:v>ProjectSQL</x:v>
      </x:c>
      <x:c r="D10" s="24" t="str">
        <x:v>Shared database service</x:v>
      </x:c>
      <x:c r="E10" s="24" t="str">
        <x:v>Technology</x:v>
      </x:c>
      <x:c r="F10" s="24" t="str">
        <x:v>Applications Manager</x:v>
      </x:c>
      <x:c r="G10" s="24" t="str">
        <x:v>Database Team</x:v>
      </x:c>
      <x:c r="H10" s="24" t="str">
        <x:v>Yes</x:v>
      </x:c>
      <x:c r="I10" s="24" t="n">
        <x:v>12</x:v>
      </x:c>
      <x:c r="J10" s="24" t="str">
        <x:v>Restricted</x:v>
      </x:c>
      <x:c r="K10" s="24" t="str">
        <x:v>Yes</x:v>
      </x:c>
      <x:c r="L10" s="24" t="str">
        <x:v>GDPR / client requirements</x:v>
      </x:c>
      <x:c r="M10" s="24" t="str">
        <x:v>Critical</x:v>
      </x:c>
      <x:c r="N10" s="24" t="str">
        <x:v>SQL Server 2016</x:v>
      </x:c>
      <x:c r="O10" s="24" t="str">
        <x:v>Microsoft</x:v>
      </x:c>
      <x:c r="P10" s="24" t="str">
        <x:v>Extended Support</x:v>
      </x:c>
      <x:c r="Q10" s="24" t="str">
        <x:v>SAN storage</x:v>
      </x:c>
      <x:c r="R10" s="24" t="str">
        <x:v>Active Directory</x:v>
      </x:c>
      <x:c r="S10" s="24" t="str">
        <x:v>ERP; SiteDocs; BI</x:v>
      </x:c>
      <x:c r="T10" s="24" t="str">
        <x:v>svc_sqlagent</x:v>
      </x:c>
      <x:c r="U10" s="24" t="str">
        <x:v>Database encryption cert</x:v>
      </x:c>
      <x:c r="V10" s="24" t="str">
        <x:v>Backups; index maintenance</x:v>
      </x:c>
      <x:c r="W10" s="24" t="str">
        <x:v>Yes</x:v>
      </x:c>
      <x:c r="X10" s="24" t="n">
        <x:v>2</x:v>
      </x:c>
      <x:c r="Y10" s="24" t="n">
        <x:v>1</x:v>
      </x:c>
      <x:c r="Z10" s="24" t="str">
        <x:v>Upgrade</x:v>
      </x:c>
      <x:c r="AA10" s="70" t="n">
        <x:v>46357</x:v>
      </x:c>
      <x:c r="AB10" s="24" t="str">
        <x:v>Testing</x:v>
      </x:c>
      <x:c r="AC10" s="24" t="str">
        <x:v>Consolidated dependency creates concentration risk.</x:v>
      </x:c>
    </x:row>
    <x:row r="11">
      <x:c r="A11" s="24" t="str">
        <x:v>APP-006</x:v>
      </x:c>
      <x:c r="B11" s="24" t="str">
        <x:v>SRV-003</x:v>
      </x:c>
      <x:c r="C11" s="24" t="str">
        <x:v>Tender Analytics</x:v>
      </x:c>
      <x:c r="D11" s="24" t="str">
        <x:v>Bid and margin analysis</x:v>
      </x:c>
      <x:c r="E11" s="24" t="str">
        <x:v>Commercial</x:v>
      </x:c>
      <x:c r="F11" s="24" t="str">
        <x:v>Commercial Director</x:v>
      </x:c>
      <x:c r="G11" s="24" t="str">
        <x:v>BI Lead</x:v>
      </x:c>
      <x:c r="H11" s="24" t="str">
        <x:v>Yes</x:v>
      </x:c>
      <x:c r="I11" s="24" t="n">
        <x:v>35</x:v>
      </x:c>
      <x:c r="J11" s="24" t="str">
        <x:v>Confidential</x:v>
      </x:c>
      <x:c r="K11" s="24" t="str">
        <x:v>Yes</x:v>
      </x:c>
      <x:c r="L11" s="24" t="str">
        <x:v>Commercial confidentiality</x:v>
      </x:c>
      <x:c r="M11" s="24" t="str">
        <x:v>High</x:v>
      </x:c>
      <x:c r="N11" s="24" t="str">
        <x:v>2019</x:v>
      </x:c>
      <x:c r="O11" s="24" t="str">
        <x:v>Internal</x:v>
      </x:c>
      <x:c r="P11" s="24" t="str">
        <x:v>Supported</x:v>
      </x:c>
      <x:c r="Q11" s="24" t="str">
        <x:v>ProjectSQL</x:v>
      </x:c>
      <x:c r="R11" s="24" t="str">
        <x:v>ProjectSQL; file shares</x:v>
      </x:c>
      <x:c r="S11" s="24" t="str">
        <x:v>Power BI gateway</x:v>
      </x:c>
      <x:c r="T11" s="24" t="str">
        <x:v>svc_tenderbi</x:v>
      </x:c>
      <x:c r="U11" s="24" t="str">
        <x:v>Gateway certificate</x:v>
      </x:c>
      <x:c r="V11" s="24" t="str">
        <x:v>Hourly refresh</x:v>
      </x:c>
      <x:c r="W11" s="24" t="str">
        <x:v>Yes</x:v>
      </x:c>
      <x:c r="X11" s="24" t="n">
        <x:v>8</x:v>
      </x:c>
      <x:c r="Y11" s="24" t="n">
        <x:v>4</x:v>
      </x:c>
      <x:c r="Z11" s="24" t="str">
        <x:v>Rehost</x:v>
      </x:c>
      <x:c r="AA11" s="70" t="n">
        <x:v>46341</x:v>
      </x:c>
      <x:c r="AB11" s="24" t="str">
        <x:v>Planned</x:v>
      </x:c>
      <x:c r="AC11" s="24" t="str">
        <x:v>Test driver compatibility on target OS.</x:v>
      </x:c>
    </x:row>
    <x:row r="12">
      <x:c r="A12" s="24" t="str">
        <x:v>APP-007</x:v>
      </x:c>
      <x:c r="B12" s="24" t="str">
        <x:v>SRV-004</x:v>
      </x:c>
      <x:c r="C12" s="24" t="str">
        <x:v>SecureVision VMS</x:v>
      </x:c>
      <x:c r="D12" s="24" t="str">
        <x:v>CCTV recording and playback</x:v>
      </x:c>
      <x:c r="E12" s="24" t="str">
        <x:v>Security</x:v>
      </x:c>
      <x:c r="F12" s="24" t="str">
        <x:v>Security Manager</x:v>
      </x:c>
      <x:c r="G12" s="24" t="str">
        <x:v>Regional IT</x:v>
      </x:c>
      <x:c r="H12" s="24" t="str">
        <x:v>Yes</x:v>
      </x:c>
      <x:c r="I12" s="24" t="n">
        <x:v>18</x:v>
      </x:c>
      <x:c r="J12" s="24" t="str">
        <x:v>Restricted</x:v>
      </x:c>
      <x:c r="K12" s="24" t="str">
        <x:v>Yes</x:v>
      </x:c>
      <x:c r="L12" s="24" t="str">
        <x:v>GDPR / surveillance</x:v>
      </x:c>
      <x:c r="M12" s="24" t="str">
        <x:v>High</x:v>
      </x:c>
      <x:c r="N12" s="24" t="str">
        <x:v>6.0</x:v>
      </x:c>
      <x:c r="O12" s="24" t="str">
        <x:v>SecureVision</x:v>
      </x:c>
      <x:c r="P12" s="24" t="str">
        <x:v>Unsupported</x:v>
      </x:c>
      <x:c r="Q12" s="24" t="str">
        <x:v>Local RAID</x:v>
      </x:c>
      <x:c r="R12" s="24" t="str">
        <x:v>IP cameras</x:v>
      </x:c>
      <x:c r="S12" s="24" t="str">
        <x:v>Security investigations</x:v>
      </x:c>
      <x:c r="T12" s="24" t="str">
        <x:v>svc_vms</x:v>
      </x:c>
      <x:c r="U12" s="24" t="str">
        <x:v>None</x:v>
      </x:c>
      <x:c r="V12" s="24" t="str">
        <x:v>Retention purge</x:v>
      </x:c>
      <x:c r="W12" s="24" t="str">
        <x:v>No</x:v>
      </x:c>
      <x:c r="X12" s="24" t="n">
        <x:v>4</x:v>
      </x:c>
      <x:c r="Y12" s="24" t="n">
        <x:v>1</x:v>
      </x:c>
      <x:c r="Z12" s="24" t="str">
        <x:v>Replace</x:v>
      </x:c>
      <x:c r="AA12" s="70" t="n">
        <x:v>46295</x:v>
      </x:c>
      <x:c r="AB12" s="24" t="str">
        <x:v>Blocked</x:v>
      </x:c>
      <x:c r="AC12" s="24" t="str">
        <x:v>Camera firmware compatibility unresolved.</x:v>
      </x:c>
    </x:row>
    <x:row r="13">
      <x:c r="A13" s="24" t="str">
        <x:v>APP-008</x:v>
      </x:c>
      <x:c r="B13" s="24" t="str">
        <x:v>SRV-005</x:v>
      </x:c>
      <x:c r="C13" s="24" t="str">
        <x:v>Windows File Services</x:v>
      </x:c>
      <x:c r="D13" s="24" t="str">
        <x:v>Departmental file shares</x:v>
      </x:c>
      <x:c r="E13" s="24" t="str">
        <x:v>Operations</x:v>
      </x:c>
      <x:c r="F13" s="24" t="str">
        <x:v>Operations Director</x:v>
      </x:c>
      <x:c r="G13" s="24" t="str">
        <x:v>Infrastructure Team</x:v>
      </x:c>
      <x:c r="H13" s="24" t="str">
        <x:v>Yes</x:v>
      </x:c>
      <x:c r="I13" s="24" t="n">
        <x:v>220</x:v>
      </x:c>
      <x:c r="J13" s="24" t="str">
        <x:v>Confidential</x:v>
      </x:c>
      <x:c r="K13" s="24" t="str">
        <x:v>Yes</x:v>
      </x:c>
      <x:c r="L13" s="24" t="str">
        <x:v>GDPR / contractual</x:v>
      </x:c>
      <x:c r="M13" s="24" t="str">
        <x:v>High</x:v>
      </x:c>
      <x:c r="N13" s="24" t="str">
        <x:v>2019</x:v>
      </x:c>
      <x:c r="O13" s="24" t="str">
        <x:v>Microsoft</x:v>
      </x:c>
      <x:c r="P13" s="24" t="str">
        <x:v>Supported</x:v>
      </x:c>
      <x:c r="Q13" s="24" t="str">
        <x:v>SAN storage</x:v>
      </x:c>
      <x:c r="R13" s="24" t="str">
        <x:v>Active Directory</x:v>
      </x:c>
      <x:c r="S13" s="24" t="str">
        <x:v>All departments</x:v>
      </x:c>
      <x:c r="T13" s="24" t="str">
        <x:v>svc_backup</x:v>
      </x:c>
      <x:c r="U13" s="24" t="str">
        <x:v>None</x:v>
      </x:c>
      <x:c r="V13" s="24" t="str">
        <x:v>Shadow copy; backup</x:v>
      </x:c>
      <x:c r="W13" s="24" t="str">
        <x:v>Yes</x:v>
      </x:c>
      <x:c r="X13" s="24" t="n">
        <x:v>8</x:v>
      </x:c>
      <x:c r="Y13" s="24" t="n">
        <x:v>4</x:v>
      </x:c>
      <x:c r="Z13" s="24" t="str">
        <x:v>Retain</x:v>
      </x:c>
      <x:c r="AA13" s="70" t="n">
        <x:v>47127</x:v>
      </x:c>
      <x:c r="AB13" s="24" t="str">
        <x:v>Not Required</x:v>
      </x:c>
      <x:c r="AC13" s="24" t="str">
        <x:v>Supported service included for comparison.</x:v>
      </x:c>
    </x:row>
    <x:row r="14">
      <x:c r="A14" s="25" t="str">
        <x:v>APP-009</x:v>
      </x:c>
      <x:c r="B14" s="25" t="str">
        <x:v>SRV-006</x:v>
      </x:c>
      <x:c r="C14" s="25" t="str">
        <x:v>API Test Harness</x:v>
      </x:c>
      <x:c r="D14" s="25" t="str">
        <x:v>Non-production integration testing</x:v>
      </x:c>
      <x:c r="E14" s="25" t="str">
        <x:v>Technology</x:v>
      </x:c>
      <x:c r="F14" s="25" t="str">
        <x:v>Applications Manager</x:v>
      </x:c>
      <x:c r="G14" s="25" t="str">
        <x:v>Cloud Team</x:v>
      </x:c>
      <x:c r="H14" s="25" t="str">
        <x:v>Yes</x:v>
      </x:c>
      <x:c r="I14" s="25" t="n">
        <x:v>8</x:v>
      </x:c>
      <x:c r="J14" s="25" t="str">
        <x:v>Internal</x:v>
      </x:c>
      <x:c r="K14" s="25" t="str">
        <x:v>No</x:v>
      </x:c>
      <x:c r="L14" s="25" t="str">
        <x:v>None</x:v>
      </x:c>
      <x:c r="M14" s="25" t="str">
        <x:v>Low</x:v>
      </x:c>
      <x:c r="N14" s="25" t="str">
        <x:v>1.9</x:v>
      </x:c>
      <x:c r="O14" s="25" t="str">
        <x:v>Internal</x:v>
      </x:c>
      <x:c r="P14" s="25" t="str">
        <x:v>Supported</x:v>
      </x:c>
      <x:c r="Q14" s="25" t="str">
        <x:v>Azure managed disk</x:v>
      </x:c>
      <x:c r="R14" s="25" t="str">
        <x:v>Test APIs</x:v>
      </x:c>
      <x:c r="S14" s="25" t="str">
        <x:v>Development team</x:v>
      </x:c>
      <x:c r="T14" s="25" t="str">
        <x:v>svc_api_test</x:v>
      </x:c>
      <x:c r="U14" s="25" t="str">
        <x:v>Test TLS</x:v>
      </x:c>
      <x:c r="V14" s="25" t="str">
        <x:v>Synthetic tests</x:v>
      </x:c>
      <x:c r="W14" s="25" t="str">
        <x:v>Yes</x:v>
      </x:c>
      <x:c r="X14" s="25" t="n">
        <x:v>24</x:v>
      </x:c>
      <x:c r="Y14" s="25" t="n">
        <x:v>24</x:v>
      </x:c>
      <x:c r="Z14" s="25" t="str">
        <x:v>Upgrade</x:v>
      </x:c>
      <x:c r="AA14" s="71" t="n">
        <x:v>46477</x:v>
      </x:c>
      <x:c r="AB14" s="25" t="str">
        <x:v>Planned</x:v>
      </x:c>
      <x:c r="AC14" s="25" t="str">
        <x:v>No production data permitted.</x:v>
      </x:c>
    </x:row>
    <x:row r="15">
      <x:c r="AA15" s="72"/>
    </x:row>
    <x:row r="16">
      <x:c r="AA16" s="72"/>
    </x:row>
    <x:row r="17">
      <x:c r="AA17" s="72"/>
    </x:row>
    <x:row r="18">
      <x:c r="AA18" s="72"/>
    </x:row>
    <x:row r="19">
      <x:c r="AA19" s="72"/>
    </x:row>
    <x:row r="20">
      <x:c r="AA20" s="72"/>
    </x:row>
    <x:row r="21">
      <x:c r="AA21" s="72"/>
    </x:row>
    <x:row r="22">
      <x:c r="AA22" s="72"/>
    </x:row>
    <x:row r="23">
      <x:c r="AA23" s="72"/>
    </x:row>
    <x:row r="24">
      <x:c r="AA24" s="72"/>
    </x:row>
    <x:row r="25">
      <x:c r="AA25" s="72"/>
    </x:row>
    <x:row r="26">
      <x:c r="AA26" s="72"/>
    </x:row>
    <x:row r="27">
      <x:c r="AA27" s="72"/>
    </x:row>
    <x:row r="28">
      <x:c r="AA28" s="72"/>
    </x:row>
    <x:row r="29">
      <x:c r="AA29" s="72"/>
    </x:row>
    <x:row r="30">
      <x:c r="AA30" s="72"/>
    </x:row>
    <x:row r="31">
      <x:c r="AA31" s="72"/>
    </x:row>
    <x:row r="32">
      <x:c r="AA32" s="72"/>
    </x:row>
    <x:row r="33">
      <x:c r="AA33" s="72"/>
    </x:row>
    <x:row r="34">
      <x:c r="AA34" s="72"/>
    </x:row>
    <x:row r="35">
      <x:c r="AA35" s="72"/>
    </x:row>
    <x:row r="36">
      <x:c r="AA36" s="72"/>
    </x:row>
    <x:row r="37">
      <x:c r="AA37" s="72"/>
    </x:row>
    <x:row r="38">
      <x:c r="AA38" s="72"/>
    </x:row>
    <x:row r="39">
      <x:c r="AA39" s="72"/>
    </x:row>
    <x:row r="40">
      <x:c r="AA40" s="72"/>
    </x:row>
    <x:row r="41">
      <x:c r="AA41" s="72"/>
    </x:row>
    <x:row r="42">
      <x:c r="AA42" s="72"/>
    </x:row>
    <x:row r="43">
      <x:c r="AA43" s="72"/>
    </x:row>
    <x:row r="44">
      <x:c r="AA44" s="72"/>
    </x:row>
    <x:row r="45">
      <x:c r="AA45" s="72"/>
    </x:row>
    <x:row r="46">
      <x:c r="AA46" s="72"/>
    </x:row>
    <x:row r="47">
      <x:c r="AA47" s="72"/>
    </x:row>
    <x:row r="48">
      <x:c r="AA48" s="72"/>
    </x:row>
    <x:row r="49">
      <x:c r="AA49" s="72"/>
    </x:row>
    <x:row r="50">
      <x:c r="AA50" s="72"/>
    </x:row>
    <x:row r="51">
      <x:c r="AA51" s="72"/>
    </x:row>
    <x:row r="52">
      <x:c r="AA52" s="72"/>
    </x:row>
    <x:row r="53">
      <x:c r="AA53" s="72"/>
    </x:row>
    <x:row r="54">
      <x:c r="AA54" s="72"/>
    </x:row>
    <x:row r="55">
      <x:c r="AA55" s="72"/>
    </x:row>
    <x:row r="56">
      <x:c r="AA56" s="72"/>
    </x:row>
    <x:row r="57">
      <x:c r="AA57" s="72"/>
    </x:row>
    <x:row r="58">
      <x:c r="AA58" s="72"/>
    </x:row>
    <x:row r="59">
      <x:c r="AA59" s="72"/>
    </x:row>
    <x:row r="60">
      <x:c r="AA60" s="72"/>
    </x:row>
    <x:row r="61">
      <x:c r="AA61" s="72"/>
    </x:row>
    <x:row r="62">
      <x:c r="AA62" s="72"/>
    </x:row>
    <x:row r="63">
      <x:c r="AA63" s="72"/>
    </x:row>
    <x:row r="64">
      <x:c r="AA64" s="72"/>
    </x:row>
    <x:row r="65">
      <x:c r="AA65" s="72"/>
    </x:row>
    <x:row r="66">
      <x:c r="AA66" s="72"/>
    </x:row>
    <x:row r="67">
      <x:c r="AA67" s="72"/>
    </x:row>
    <x:row r="68">
      <x:c r="AA68" s="72"/>
    </x:row>
    <x:row r="69">
      <x:c r="AA69" s="72"/>
    </x:row>
    <x:row r="70">
      <x:c r="AA70" s="72"/>
    </x:row>
    <x:row r="71">
      <x:c r="AA71" s="72"/>
    </x:row>
    <x:row r="72">
      <x:c r="AA72" s="72"/>
    </x:row>
    <x:row r="73">
      <x:c r="AA73" s="72"/>
    </x:row>
    <x:row r="74">
      <x:c r="AA74" s="72"/>
    </x:row>
    <x:row r="75">
      <x:c r="AA75" s="72"/>
    </x:row>
    <x:row r="76">
      <x:c r="AA76" s="72"/>
    </x:row>
    <x:row r="77">
      <x:c r="AA77" s="72"/>
    </x:row>
    <x:row r="78">
      <x:c r="AA78" s="72"/>
    </x:row>
    <x:row r="79">
      <x:c r="AA79" s="72"/>
    </x:row>
    <x:row r="80">
      <x:c r="AA80" s="72"/>
    </x:row>
    <x:row r="81">
      <x:c r="AA81" s="72"/>
    </x:row>
    <x:row r="82">
      <x:c r="AA82" s="72"/>
    </x:row>
    <x:row r="83">
      <x:c r="AA83" s="72"/>
    </x:row>
    <x:row r="84">
      <x:c r="AA84" s="72"/>
    </x:row>
    <x:row r="85">
      <x:c r="AA85" s="72"/>
    </x:row>
    <x:row r="86">
      <x:c r="AA86" s="72"/>
    </x:row>
    <x:row r="87">
      <x:c r="AA87" s="72"/>
    </x:row>
    <x:row r="88">
      <x:c r="AA88" s="72"/>
    </x:row>
    <x:row r="89">
      <x:c r="AA89" s="72"/>
    </x:row>
    <x:row r="90">
      <x:c r="AA90" s="72"/>
    </x:row>
    <x:row r="91">
      <x:c r="AA91" s="72"/>
    </x:row>
    <x:row r="92">
      <x:c r="AA92" s="72"/>
    </x:row>
    <x:row r="93">
      <x:c r="AA93" s="72"/>
    </x:row>
    <x:row r="94">
      <x:c r="AA94" s="72"/>
    </x:row>
    <x:row r="95">
      <x:c r="AA95" s="72"/>
    </x:row>
    <x:row r="96">
      <x:c r="AA96" s="72"/>
    </x:row>
    <x:row r="97">
      <x:c r="AA97" s="72"/>
    </x:row>
    <x:row r="98">
      <x:c r="AA98" s="72"/>
    </x:row>
    <x:row r="99">
      <x:c r="AA99" s="72"/>
    </x:row>
    <x:row r="100">
      <x:c r="AA100" s="72"/>
    </x:row>
    <x:row r="101">
      <x:c r="AA101" s="72"/>
    </x:row>
    <x:row r="102">
      <x:c r="AA102" s="72"/>
    </x:row>
    <x:row r="103">
      <x:c r="AA103" s="72"/>
    </x:row>
    <x:row r="104">
      <x:c r="AA104" s="72"/>
    </x:row>
    <x:row r="105">
      <x:c r="AA105" s="72"/>
    </x:row>
  </x:sheetData>
  <x:mergeCells>
    <x:mergeCell ref="A1:AC1"/>
    <x:mergeCell ref="A2:AC2"/>
  </x:mergeCells>
  <x:conditionalFormatting sqref="M6:M105">
    <x:cfRule type="containsText" dxfId="6" priority="1" operator="containsText" text="Critical"/>
    <x:cfRule type="containsText" dxfId="7" priority="2" operator="containsText" text="High"/>
    <x:cfRule type="containsText" dxfId="8" priority="3" operator="containsText" text="Medium"/>
    <x:cfRule type="containsText" dxfId="9" priority="4" operator="containsText" text="Low"/>
  </x:conditionalFormatting>
  <x:conditionalFormatting sqref="P6:P105">
    <x:cfRule type="containsText" dxfId="10" priority="5" operator="containsText" text="Unsupported"/>
  </x:conditionalFormatting>
  <x:dataValidations count="7">
    <x:dataValidation type="list" sqref="H6:H105">
      <x:formula1>"Yes,No,Unknown"</x:formula1>
    </x:dataValidation>
    <x:dataValidation type="list" sqref="J6:J105">
      <x:formula1>"Public,Internal,Confidential,Restricted"</x:formula1>
    </x:dataValidation>
    <x:dataValidation type="list" sqref="K6:K105">
      <x:formula1>"Yes,No,Unknown"</x:formula1>
    </x:dataValidation>
    <x:dataValidation type="list" sqref="M6:M105">
      <x:formula1>"Critical,High,Medium,Low"</x:formula1>
    </x:dataValidation>
    <x:dataValidation type="list" sqref="P6:P105">
      <x:formula1>"Supported,Extended Support,Unsupported,Unknown"</x:formula1>
    </x:dataValidation>
    <x:dataValidation type="list" sqref="W6:W105">
      <x:formula1>"Yes,No,Unknown"</x:formula1>
    </x:dataValidation>
    <x:dataValidation type="list" sqref="Z6:Z105">
      <x:formula1>"Upgrade,Rehost,Replatform,Replace,Retire,Retain,Exception"</x:formula1>
    </x:dataValidation>
  </x:dataValidations>
  <x:pageMargins left="0.7" right="0.7" top="0.75" bottom="0.75" header="0.3" footer="0.3"/>
  <x:tableParts count="1">
    <x:tablePart xmlns:r="http://schemas.openxmlformats.org/officeDocument/2006/relationships" r:id="R931e6263e21e499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50" hidden="0" customWidth="1"/>
    <x:col min="4" max="4" width="42" hidden="0" customWidth="1"/>
    <x:col min="5" max="5" width="28" hidden="0" customWidth="1"/>
    <x:col min="6" max="6" width="30" hidden="0" customWidth="1"/>
    <x:col min="7" max="7" width="20" hidden="0" customWidth="1"/>
    <x:col min="8" max="8" width="13" hidden="0" customWidth="1"/>
    <x:col min="9" max="9" width="16" hidden="0" customWidth="1"/>
  </x:cols>
  <x:sheetData>
    <x:row r="1" ht="34" customHeight="1">
      <x:c r="A1" s="3" t="str">
        <x:v>Application Discovery Questionnaire</x:v>
      </x:c>
    </x:row>
    <x:row r="2" ht="24" customHeight="1">
      <x:c r="A2" s="6" t="str">
        <x:v>Complete with the business owner and technical owner for every application hosted on an EOL server</x:v>
      </x:c>
      <x:c r="B2" s="6"/>
      <x:c r="C2" s="6"/>
      <x:c r="D2" s="6"/>
      <x:c r="E2" s="6"/>
      <x:c r="F2" s="6"/>
      <x:c r="G2" s="6"/>
      <x:c r="H2" s="6"/>
      <x:c r="I2" s="6"/>
    </x:row>
    <x:row r="5" ht="34" customHeight="1">
      <x:c r="A5" s="14" t="str">
        <x:v>Question ID</x:v>
      </x:c>
      <x:c r="B5" s="68" t="str">
        <x:v>Category</x:v>
      </x:c>
      <x:c r="C5" s="68" t="str">
        <x:v>Question</x:v>
      </x:c>
      <x:c r="D5" s="68" t="str">
        <x:v>Why it matters</x:v>
      </x:c>
      <x:c r="E5" s="68" t="str">
        <x:v>Response</x:v>
      </x:c>
      <x:c r="F5" s="68" t="str">
        <x:v>Evidence / source</x:v>
      </x:c>
      <x:c r="G5" s="68" t="str">
        <x:v>Owner</x:v>
      </x:c>
      <x:c r="H5" s="68" t="str">
        <x:v>Due date</x:v>
      </x:c>
      <x:c r="I5" s="15" t="str">
        <x:v>Review status</x:v>
      </x:c>
    </x:row>
    <x:row r="6">
      <x:c r="A6" s="23" t="str">
        <x:v>Q01</x:v>
      </x:c>
      <x:c r="B6" s="23" t="str">
        <x:v>Application</x:v>
      </x:c>
      <x:c r="C6" s="23" t="str">
        <x:v>What applications are installed or hosted on this server?</x:v>
      </x:c>
      <x:c r="D6" s="23" t="str">
        <x:v>Establishes the migration scope.</x:v>
      </x:c>
      <x:c r="E6" s="23" t="str"/>
      <x:c r="F6" s="23" t="str"/>
      <x:c r="G6" s="23" t="str"/>
      <x:c r="H6" s="69"/>
      <x:c r="I6" s="23" t="str">
        <x:v>Not Started</x:v>
      </x:c>
    </x:row>
    <x:row r="7">
      <x:c r="A7" s="24" t="str">
        <x:v>Q02</x:v>
      </x:c>
      <x:c r="B7" s="24" t="str">
        <x:v>Application</x:v>
      </x:c>
      <x:c r="C7" s="24" t="str">
        <x:v>What is each application’s business purpose?</x:v>
      </x:c>
      <x:c r="D7" s="24" t="str">
        <x:v>Confirms whether the service is still required.</x:v>
      </x:c>
      <x:c r="E7" s="24" t="str"/>
      <x:c r="F7" s="24" t="str"/>
      <x:c r="G7" s="24" t="str"/>
      <x:c r="H7" s="70"/>
      <x:c r="I7" s="24" t="str">
        <x:v>Not Started</x:v>
      </x:c>
    </x:row>
    <x:row r="8">
      <x:c r="A8" s="24" t="str">
        <x:v>Q03</x:v>
      </x:c>
      <x:c r="B8" s="24" t="str">
        <x:v>Ownership</x:v>
      </x:c>
      <x:c r="C8" s="24" t="str">
        <x:v>Who is the business owner?</x:v>
      </x:c>
      <x:c r="D8" s="24" t="str">
        <x:v>Provides authority for impact and risk decisions.</x:v>
      </x:c>
      <x:c r="E8" s="24" t="str"/>
      <x:c r="F8" s="24" t="str"/>
      <x:c r="G8" s="24" t="str"/>
      <x:c r="H8" s="70"/>
      <x:c r="I8" s="24" t="str">
        <x:v>Not Started</x:v>
      </x:c>
    </x:row>
    <x:row r="9">
      <x:c r="A9" s="24" t="str">
        <x:v>Q04</x:v>
      </x:c>
      <x:c r="B9" s="24" t="str">
        <x:v>Ownership</x:v>
      </x:c>
      <x:c r="C9" s="24" t="str">
        <x:v>Who is the technical owner?</x:v>
      </x:c>
      <x:c r="D9" s="24" t="str">
        <x:v>Assigns responsibility for discovery and migration.</x:v>
      </x:c>
      <x:c r="E9" s="24" t="str"/>
      <x:c r="F9" s="24" t="str"/>
      <x:c r="G9" s="24" t="str"/>
      <x:c r="H9" s="70"/>
      <x:c r="I9" s="24" t="str">
        <x:v>Not Started</x:v>
      </x:c>
    </x:row>
    <x:row r="10">
      <x:c r="A10" s="24" t="str">
        <x:v>Q05</x:v>
      </x:c>
      <x:c r="B10" s="24" t="str">
        <x:v>Usage</x:v>
      </x:c>
      <x:c r="C10" s="24" t="str">
        <x:v>Which departments and how many users depend on it?</x:v>
      </x:c>
      <x:c r="D10" s="24" t="str">
        <x:v>Measures business reach and disruption potential.</x:v>
      </x:c>
      <x:c r="E10" s="24" t="str"/>
      <x:c r="F10" s="24" t="str"/>
      <x:c r="G10" s="24" t="str"/>
      <x:c r="H10" s="70"/>
      <x:c r="I10" s="24" t="str">
        <x:v>Not Started</x:v>
      </x:c>
    </x:row>
    <x:row r="11">
      <x:c r="A11" s="24" t="str">
        <x:v>Q06</x:v>
      </x:c>
      <x:c r="B11" s="24" t="str">
        <x:v>Criticality</x:v>
      </x:c>
      <x:c r="C11" s="24" t="str">
        <x:v>What would be the operational, financial, safety or contractual impact of an outage?</x:v>
      </x:c>
      <x:c r="D11" s="24" t="str">
        <x:v>Supports impact scoring and recovery priorities.</x:v>
      </x:c>
      <x:c r="E11" s="24" t="str"/>
      <x:c r="F11" s="24" t="str"/>
      <x:c r="G11" s="24" t="str"/>
      <x:c r="H11" s="70"/>
      <x:c r="I11" s="24" t="str">
        <x:v>Not Started</x:v>
      </x:c>
    </x:row>
    <x:row r="12">
      <x:c r="A12" s="24" t="str">
        <x:v>Q07</x:v>
      </x:c>
      <x:c r="B12" s="24" t="str">
        <x:v>Data</x:v>
      </x:c>
      <x:c r="C12" s="24" t="str">
        <x:v>What data is stored, processed or transmitted?</x:v>
      </x:c>
      <x:c r="D12" s="24" t="str">
        <x:v>Identifies confidentiality and privacy requirements.</x:v>
      </x:c>
      <x:c r="E12" s="24" t="str"/>
      <x:c r="F12" s="24" t="str"/>
      <x:c r="G12" s="24" t="str"/>
      <x:c r="H12" s="70"/>
      <x:c r="I12" s="24" t="str">
        <x:v>Not Started</x:v>
      </x:c>
    </x:row>
    <x:row r="13">
      <x:c r="A13" s="24" t="str">
        <x:v>Q08</x:v>
      </x:c>
      <x:c r="B13" s="24" t="str">
        <x:v>Data</x:v>
      </x:c>
      <x:c r="C13" s="24" t="str">
        <x:v>Does it process personal, financial, confidential or regulated data?</x:v>
      </x:c>
      <x:c r="D13" s="24" t="str">
        <x:v>Determines regulatory and control obligations.</x:v>
      </x:c>
      <x:c r="E13" s="24" t="str"/>
      <x:c r="F13" s="24" t="str"/>
      <x:c r="G13" s="24" t="str"/>
      <x:c r="H13" s="70"/>
      <x:c r="I13" s="24" t="str">
        <x:v>Not Started</x:v>
      </x:c>
    </x:row>
    <x:row r="14">
      <x:c r="A14" s="24" t="str">
        <x:v>Q09</x:v>
      </x:c>
      <x:c r="B14" s="24" t="str">
        <x:v>Dependencies</x:v>
      </x:c>
      <x:c r="C14" s="24" t="str">
        <x:v>Which databases, servers, APIs, networks or external services does it require?</x:v>
      </x:c>
      <x:c r="D14" s="24" t="str">
        <x:v>Prevents broken upstream dependencies during migration.</x:v>
      </x:c>
      <x:c r="E14" s="24" t="str"/>
      <x:c r="F14" s="24" t="str"/>
      <x:c r="G14" s="24" t="str"/>
      <x:c r="H14" s="70"/>
      <x:c r="I14" s="24" t="str">
        <x:v>Not Started</x:v>
      </x:c>
    </x:row>
    <x:row r="15">
      <x:c r="A15" s="24" t="str">
        <x:v>Q10</x:v>
      </x:c>
      <x:c r="B15" s="24" t="str">
        <x:v>Dependencies</x:v>
      </x:c>
      <x:c r="C15" s="24" t="str">
        <x:v>Which systems, users or third parties depend on this application?</x:v>
      </x:c>
      <x:c r="D15" s="24" t="str">
        <x:v>Maps downstream outage impact.</x:v>
      </x:c>
      <x:c r="E15" s="24" t="str"/>
      <x:c r="F15" s="24" t="str"/>
      <x:c r="G15" s="24" t="str"/>
      <x:c r="H15" s="70"/>
      <x:c r="I15" s="24" t="str">
        <x:v>Not Started</x:v>
      </x:c>
    </x:row>
    <x:row r="16">
      <x:c r="A16" s="24" t="str">
        <x:v>Q11</x:v>
      </x:c>
      <x:c r="B16" s="24" t="str">
        <x:v>Identity</x:v>
      </x:c>
      <x:c r="C16" s="24" t="str">
        <x:v>Which service accounts, privileged accounts or directory groups are used?</x:v>
      </x:c>
      <x:c r="D16" s="24" t="str">
        <x:v>Prevents access failures and unmanaged credentials.</x:v>
      </x:c>
      <x:c r="E16" s="24" t="str"/>
      <x:c r="F16" s="24" t="str"/>
      <x:c r="G16" s="24" t="str"/>
      <x:c r="H16" s="70"/>
      <x:c r="I16" s="24" t="str">
        <x:v>Not Started</x:v>
      </x:c>
    </x:row>
    <x:row r="17">
      <x:c r="A17" s="24" t="str">
        <x:v>Q12</x:v>
      </x:c>
      <x:c r="B17" s="24" t="str">
        <x:v>Security</x:v>
      </x:c>
      <x:c r="C17" s="24" t="str">
        <x:v>Which certificates, encryption keys or secrets are required?</x:v>
      </x:c>
      <x:c r="D17" s="24" t="str">
        <x:v>Avoids certificate and key failures after migration.</x:v>
      </x:c>
      <x:c r="E17" s="24" t="str"/>
      <x:c r="F17" s="24" t="str"/>
      <x:c r="G17" s="24" t="str"/>
      <x:c r="H17" s="70"/>
      <x:c r="I17" s="24" t="str">
        <x:v>Not Started</x:v>
      </x:c>
    </x:row>
    <x:row r="18">
      <x:c r="A18" s="24" t="str">
        <x:v>Q13</x:v>
      </x:c>
      <x:c r="B18" s="24" t="str">
        <x:v>Operations</x:v>
      </x:c>
      <x:c r="C18" s="24" t="str">
        <x:v>Which scheduled tasks, integrations and batch jobs run?</x:v>
      </x:c>
      <x:c r="D18" s="24" t="str">
        <x:v>Captures hidden operational dependencies.</x:v>
      </x:c>
      <x:c r="E18" s="24" t="str"/>
      <x:c r="F18" s="24" t="str"/>
      <x:c r="G18" s="24" t="str"/>
      <x:c r="H18" s="70"/>
      <x:c r="I18" s="24" t="str">
        <x:v>Not Started</x:v>
      </x:c>
    </x:row>
    <x:row r="19">
      <x:c r="A19" s="24" t="str">
        <x:v>Q14</x:v>
      </x:c>
      <x:c r="B19" s="24" t="str">
        <x:v>Support</x:v>
      </x:c>
      <x:c r="C19" s="24" t="str">
        <x:v>Is the installed application version supported by the vendor?</x:v>
      </x:c>
      <x:c r="D19" s="24" t="str">
        <x:v>Identifies application-level EOL exposure.</x:v>
      </x:c>
      <x:c r="E19" s="24" t="str"/>
      <x:c r="F19" s="24" t="str"/>
      <x:c r="G19" s="24" t="str"/>
      <x:c r="H19" s="70"/>
      <x:c r="I19" s="24" t="str">
        <x:v>Not Started</x:v>
      </x:c>
    </x:row>
    <x:row r="20">
      <x:c r="A20" s="24" t="str">
        <x:v>Q15</x:v>
      </x:c>
      <x:c r="B20" s="24" t="str">
        <x:v>Support</x:v>
      </x:c>
      <x:c r="C20" s="24" t="str">
        <x:v>Is there a current support and maintenance contract?</x:v>
      </x:c>
      <x:c r="D20" s="24" t="str">
        <x:v>Confirms access to vendor fixes and assistance.</x:v>
      </x:c>
      <x:c r="E20" s="24" t="str"/>
      <x:c r="F20" s="24" t="str"/>
      <x:c r="G20" s="24" t="str"/>
      <x:c r="H20" s="70"/>
      <x:c r="I20" s="24" t="str">
        <x:v>Not Started</x:v>
      </x:c>
    </x:row>
    <x:row r="21">
      <x:c r="A21" s="24" t="str">
        <x:v>Q16</x:v>
      </x:c>
      <x:c r="B21" s="24" t="str">
        <x:v>Compatibility</x:v>
      </x:c>
      <x:c r="C21" s="24" t="str">
        <x:v>Can the application run on a supported operating system and database?</x:v>
      </x:c>
      <x:c r="D21" s="24" t="str">
        <x:v>Tests technical feasibility of an upgrade.</x:v>
      </x:c>
      <x:c r="E21" s="24" t="str"/>
      <x:c r="F21" s="24" t="str"/>
      <x:c r="G21" s="24" t="str"/>
      <x:c r="H21" s="70"/>
      <x:c r="I21" s="24" t="str">
        <x:v>Not Started</x:v>
      </x:c>
    </x:row>
    <x:row r="22">
      <x:c r="A22" s="24" t="str">
        <x:v>Q17</x:v>
      </x:c>
      <x:c r="B22" s="24" t="str">
        <x:v>Licensing</x:v>
      </x:c>
      <x:c r="C22" s="24" t="str">
        <x:v>Are there licensing restrictions or additional migration costs?</x:v>
      </x:c>
      <x:c r="D22" s="24" t="str">
        <x:v>Avoids legal, procurement and budget blockers.</x:v>
      </x:c>
      <x:c r="E22" s="24" t="str"/>
      <x:c r="F22" s="24" t="str"/>
      <x:c r="G22" s="24" t="str"/>
      <x:c r="H22" s="70"/>
      <x:c r="I22" s="24" t="str">
        <x:v>Not Started</x:v>
      </x:c>
    </x:row>
    <x:row r="23">
      <x:c r="A23" s="24" t="str">
        <x:v>Q18</x:v>
      </x:c>
      <x:c r="B23" s="24" t="str">
        <x:v>Documentation</x:v>
      </x:c>
      <x:c r="C23" s="24" t="str">
        <x:v>Are architecture, configuration and operating procedures current?</x:v>
      </x:c>
      <x:c r="D23" s="24" t="str">
        <x:v>Reduces implementation and recovery risk.</x:v>
      </x:c>
      <x:c r="E23" s="24" t="str"/>
      <x:c r="F23" s="24" t="str"/>
      <x:c r="G23" s="24" t="str"/>
      <x:c r="H23" s="70"/>
      <x:c r="I23" s="24" t="str">
        <x:v>Not Started</x:v>
      </x:c>
    </x:row>
    <x:row r="24">
      <x:c r="A24" s="24" t="str">
        <x:v>Q19</x:v>
      </x:c>
      <x:c r="B24" s="24" t="str">
        <x:v>Resilience</x:v>
      </x:c>
      <x:c r="C24" s="24" t="str">
        <x:v>When was backup restoration last successfully tested?</x:v>
      </x:c>
      <x:c r="D24" s="24" t="str">
        <x:v>Validates recoverability before change.</x:v>
      </x:c>
      <x:c r="E24" s="24" t="str"/>
      <x:c r="F24" s="24" t="str"/>
      <x:c r="G24" s="24" t="str"/>
      <x:c r="H24" s="70"/>
      <x:c r="I24" s="24" t="str">
        <x:v>Not Started</x:v>
      </x:c>
    </x:row>
    <x:row r="25">
      <x:c r="A25" s="24" t="str">
        <x:v>Q20</x:v>
      </x:c>
      <x:c r="B25" s="24" t="str">
        <x:v>Resilience</x:v>
      </x:c>
      <x:c r="C25" s="24" t="str">
        <x:v>What are the agreed RTO and RPO?</x:v>
      </x:c>
      <x:c r="D25" s="24" t="str">
        <x:v>Defines recovery requirements for the target service.</x:v>
      </x:c>
      <x:c r="E25" s="24" t="str"/>
      <x:c r="F25" s="24" t="str"/>
      <x:c r="G25" s="24" t="str"/>
      <x:c r="H25" s="70"/>
      <x:c r="I25" s="24" t="str">
        <x:v>Not Started</x:v>
      </x:c>
    </x:row>
    <x:row r="26">
      <x:c r="A26" s="24" t="str">
        <x:v>Q21</x:v>
      </x:c>
      <x:c r="B26" s="24" t="str">
        <x:v>Remediation</x:v>
      </x:c>
      <x:c r="C26" s="24" t="str">
        <x:v>Can the application be upgraded, rehosted, replatformed, replaced or retired?</x:v>
      </x:c>
      <x:c r="D26" s="24" t="str">
        <x:v>Selects the appropriate treatment.</x:v>
      </x:c>
      <x:c r="E26" s="24" t="str"/>
      <x:c r="F26" s="24" t="str"/>
      <x:c r="G26" s="24" t="str"/>
      <x:c r="H26" s="70"/>
      <x:c r="I26" s="24" t="str">
        <x:v>Not Started</x:v>
      </x:c>
    </x:row>
    <x:row r="27">
      <x:c r="A27" s="24" t="str">
        <x:v>Q22</x:v>
      </x:c>
      <x:c r="B27" s="24" t="str">
        <x:v>Testing</x:v>
      </x:c>
      <x:c r="C27" s="24" t="str">
        <x:v>Has the application been tested in the proposed target environment?</x:v>
      </x:c>
      <x:c r="D27" s="24" t="str">
        <x:v>Provides evidence that migration is viable.</x:v>
      </x:c>
      <x:c r="E27" s="24" t="str"/>
      <x:c r="F27" s="24" t="str"/>
      <x:c r="G27" s="24" t="str"/>
      <x:c r="H27" s="70"/>
      <x:c r="I27" s="24" t="str">
        <x:v>Not Started</x:v>
      </x:c>
    </x:row>
    <x:row r="28">
      <x:c r="A28" s="24" t="str">
        <x:v>Q23</x:v>
      </x:c>
      <x:c r="B28" s="24" t="str">
        <x:v>Change</x:v>
      </x:c>
      <x:c r="C28" s="24" t="str">
        <x:v>What is the rollback plan and acceptable outage window?</x:v>
      </x:c>
      <x:c r="D28" s="24" t="str">
        <x:v>Protects service continuity during migration.</x:v>
      </x:c>
      <x:c r="E28" s="24" t="str"/>
      <x:c r="F28" s="24" t="str"/>
      <x:c r="G28" s="24" t="str"/>
      <x:c r="H28" s="70"/>
      <x:c r="I28" s="24" t="str">
        <x:v>Not Started</x:v>
      </x:c>
    </x:row>
    <x:row r="29">
      <x:c r="A29" s="24" t="str">
        <x:v>Q24</x:v>
      </x:c>
      <x:c r="B29" s="24" t="str">
        <x:v>Approval</x:v>
      </x:c>
      <x:c r="C29" s="24" t="str">
        <x:v>Who must approve migration, retirement or risk acceptance?</x:v>
      </x:c>
      <x:c r="D29" s="24" t="str">
        <x:v>Clarifies governance and decision authority.</x:v>
      </x:c>
      <x:c r="E29" s="24" t="str"/>
      <x:c r="F29" s="24" t="str"/>
      <x:c r="G29" s="24" t="str"/>
      <x:c r="H29" s="70"/>
      <x:c r="I29" s="24" t="str">
        <x:v>Not Started</x:v>
      </x:c>
    </x:row>
    <x:row r="30">
      <x:c r="A30" s="25" t="str">
        <x:v>Q25</x:v>
      </x:c>
      <x:c r="B30" s="25" t="str">
        <x:v>Interim controls</x:v>
      </x:c>
      <x:c r="C30" s="25" t="str">
        <x:v>Which compensating controls are required until remediation?</x:v>
      </x:c>
      <x:c r="D30" s="25" t="str">
        <x:v>Reduces exposure while EOL risk remains.</x:v>
      </x:c>
      <x:c r="E30" s="25" t="str"/>
      <x:c r="F30" s="25" t="str"/>
      <x:c r="G30" s="25" t="str"/>
      <x:c r="H30" s="71"/>
      <x:c r="I30" s="25" t="str">
        <x:v>Not Started</x:v>
      </x:c>
    </x:row>
    <x:row r="31">
      <x:c r="H31" s="72"/>
    </x:row>
    <x:row r="32">
      <x:c r="H32" s="72"/>
    </x:row>
    <x:row r="33">
      <x:c r="H33" s="72"/>
    </x:row>
    <x:row r="34">
      <x:c r="H34" s="72"/>
    </x:row>
    <x:row r="35">
      <x:c r="H35" s="72"/>
    </x:row>
    <x:row r="36">
      <x:c r="H36" s="72"/>
    </x:row>
    <x:row r="37">
      <x:c r="H37" s="72"/>
    </x:row>
    <x:row r="38">
      <x:c r="H38" s="72"/>
    </x:row>
    <x:row r="39">
      <x:c r="H39" s="72"/>
    </x:row>
    <x:row r="40">
      <x:c r="H40" s="72"/>
    </x:row>
    <x:row r="41">
      <x:c r="H41" s="72"/>
    </x:row>
    <x:row r="42">
      <x:c r="H42" s="72"/>
    </x:row>
    <x:row r="43">
      <x:c r="H43" s="72"/>
    </x:row>
    <x:row r="44">
      <x:c r="H44" s="72"/>
    </x:row>
    <x:row r="45">
      <x:c r="H45" s="72"/>
    </x:row>
    <x:row r="46">
      <x:c r="H46" s="72"/>
    </x:row>
    <x:row r="47">
      <x:c r="H47" s="72"/>
    </x:row>
    <x:row r="48">
      <x:c r="H48" s="72"/>
    </x:row>
    <x:row r="49">
      <x:c r="H49" s="72"/>
    </x:row>
    <x:row r="50">
      <x:c r="H50" s="72"/>
    </x:row>
    <x:row r="51">
      <x:c r="H51" s="72"/>
    </x:row>
    <x:row r="52">
      <x:c r="H52" s="72"/>
    </x:row>
    <x:row r="53">
      <x:c r="H53" s="72"/>
    </x:row>
    <x:row r="54">
      <x:c r="H54" s="72"/>
    </x:row>
    <x:row r="55">
      <x:c r="H55" s="72"/>
    </x:row>
  </x:sheetData>
  <x:mergeCells>
    <x:mergeCell ref="A1:I1"/>
    <x:mergeCell ref="A2:I2"/>
  </x:mergeCells>
  <x:conditionalFormatting sqref="I6:I55">
    <x:cfRule type="containsText" dxfId="11" priority="1" operator="containsText" text="Complete"/>
    <x:cfRule type="containsText" dxfId="12" priority="2" operator="containsText" text="Not Started"/>
  </x:conditionalFormatting>
  <x:dataValidations count="1">
    <x:dataValidation type="list" sqref="I6:I55">
      <x:formula1>"Not Started,In Progress,Complete,Not Applicable"</x:formula1>
    </x:dataValidation>
  </x:dataValidations>
  <x:pageMargins left="0.7" right="0.7" top="0.75" bottom="0.75" header="0.3" footer="0.3"/>
  <x:tableParts count="1">
    <x:tablePart xmlns:r="http://schemas.openxmlformats.org/officeDocument/2006/relationships" r:id="R7ed3609f27c44d9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4" hidden="0" customWidth="1"/>
    <x:col min="4" max="4" width="52" hidden="0" customWidth="1"/>
    <x:col min="5" max="5" width="20" hidden="0" customWidth="1"/>
    <x:col min="6" max="6" width="14" hidden="0" customWidth="1"/>
    <x:col min="7" max="7" width="12" hidden="0" customWidth="1"/>
    <x:col min="8" max="8" width="14" hidden="0" customWidth="1"/>
    <x:col min="9" max="9" width="20" hidden="0" customWidth="1"/>
    <x:col min="10" max="10" width="14" hidden="0" customWidth="1"/>
    <x:col min="11" max="11" width="16" hidden="0" customWidth="1"/>
    <x:col min="12" max="12" width="16" hidden="0" customWidth="1"/>
    <x:col min="13" max="13" width="18" hidden="0" customWidth="1"/>
    <x:col min="14" max="14" width="13" hidden="0" customWidth="1"/>
    <x:col min="15" max="15" width="30" hidden="0" customWidth="1"/>
    <x:col min="16" max="16" width="14" hidden="0" customWidth="1"/>
  </x:cols>
  <x:sheetData>
    <x:row r="1" ht="34" customHeight="1">
      <x:c r="A1" s="3" t="str">
        <x:v>Risk Assessment</x:v>
      </x:c>
    </x:row>
    <x:row r="2" ht="24" customHeight="1">
      <x:c r="A2" s="6" t="str">
        <x:v>Likelihood × impact, adjusted for current compensating-control effectiveness</x:v>
      </x:c>
      <x:c r="B2" s="6"/>
      <x:c r="C2" s="6"/>
      <x:c r="D2" s="6"/>
      <x:c r="E2" s="6"/>
      <x:c r="F2" s="6"/>
      <x:c r="G2" s="6"/>
      <x:c r="H2" s="6"/>
      <x:c r="I2" s="6"/>
      <x:c r="J2" s="6"/>
      <x:c r="K2" s="6"/>
      <x:c r="L2" s="6"/>
      <x:c r="M2" s="6"/>
      <x:c r="N2" s="6"/>
      <x:c r="O2" s="6"/>
      <x:c r="P2" s="6"/>
    </x:row>
    <x:row r="5" ht="34" customHeight="1">
      <x:c r="A5" s="14" t="str">
        <x:v>Risk ID</x:v>
      </x:c>
      <x:c r="B5" s="68" t="str">
        <x:v>Server ID</x:v>
      </x:c>
      <x:c r="C5" s="68" t="str">
        <x:v>Application ID</x:v>
      </x:c>
      <x:c r="D5" s="68" t="str">
        <x:v>Risk statement</x:v>
      </x:c>
      <x:c r="E5" s="68" t="str">
        <x:v>Risk owner</x:v>
      </x:c>
      <x:c r="F5" s="68" t="str">
        <x:v>Likelihood (1–5)</x:v>
      </x:c>
      <x:c r="G5" s="68" t="str">
        <x:v>Impact (1–5)</x:v>
      </x:c>
      <x:c r="H5" s="68" t="str">
        <x:v>Inherent score</x:v>
      </x:c>
      <x:c r="I5" s="68" t="str">
        <x:v>Control effectiveness</x:v>
      </x:c>
      <x:c r="J5" s="68" t="str">
        <x:v>Residual score</x:v>
      </x:c>
      <x:c r="K5" s="68" t="str">
        <x:v>Residual rating</x:v>
      </x:c>
      <x:c r="L5" s="68" t="str">
        <x:v>Treatment</x:v>
      </x:c>
      <x:c r="M5" s="68" t="str">
        <x:v>Decision owner</x:v>
      </x:c>
      <x:c r="N5" s="68" t="str">
        <x:v>Review date</x:v>
      </x:c>
      <x:c r="O5" s="68" t="str">
        <x:v>Evidence</x:v>
      </x:c>
      <x:c r="P5" s="15" t="str">
        <x:v>Status</x:v>
      </x:c>
    </x:row>
    <x:row r="6">
      <x:c r="A6" s="23" t="str">
        <x:v>R-001</x:v>
      </x:c>
      <x:c r="B6" s="23" t="str">
        <x:v>SRV-001</x:v>
      </x:c>
      <x:c r="C6" s="23" t="str">
        <x:v>APP-001</x:v>
      </x:c>
      <x:c r="D6" s="23" t="str">
        <x:v>Unsupported OS and ERP components could be exploited, disrupting finance and supplier payments.</x:v>
      </x:c>
      <x:c r="E6" s="23" t="str">
        <x:v>Applications Manager</x:v>
      </x:c>
      <x:c r="F6" s="23" t="n">
        <x:v>4</x:v>
      </x:c>
      <x:c r="G6" s="23" t="n">
        <x:v>5</x:v>
      </x:c>
      <x:c r="H6" s="23" t="n">
        <x:f>F6*G6</x:f>
        <x:v>20</x:v>
      </x:c>
      <x:c r="I6" s="23" t="str">
        <x:v>Limited</x:v>
      </x:c>
      <x:c r="J6" s="23" t="n">
        <x:f>ROUND(H6*(1-IF(I6="Strong",0.75,IF(I6="Moderate",0.5,IF(I6="Limited",0.25,0)))),0)</x:f>
        <x:v>15</x:v>
      </x:c>
      <x:c r="K6" s="23" t="str">
        <x:f>IF(J6&gt;=15,"Critical",IF(J6&gt;=10,"High",IF(J6&gt;=5,"Medium","Low")))</x:f>
        <x:v>Critical</x:v>
      </x:c>
      <x:c r="L6" s="23" t="str">
        <x:v>Replace</x:v>
      </x:c>
      <x:c r="M6" s="23" t="str">
        <x:v>CIO</x:v>
      </x:c>
      <x:c r="N6" s="69" t="n">
        <x:v>46280</x:v>
      </x:c>
      <x:c r="O6" s="23" t="str">
        <x:v>EOL confirmation; vulnerability scan; application inventory</x:v>
      </x:c>
      <x:c r="P6" s="23" t="str">
        <x:v>Open</x:v>
      </x:c>
    </x:row>
    <x:row r="7">
      <x:c r="A7" s="24" t="str">
        <x:v>R-002</x:v>
      </x:c>
      <x:c r="B7" s="24" t="str">
        <x:v>SRV-001</x:v>
      </x:c>
      <x:c r="C7" s="24" t="str">
        <x:v>APP-002</x:v>
      </x:c>
      <x:c r="D7" s="24" t="str">
        <x:v>Legacy reporting dependencies may fail during ERP migration and interrupt executive reporting.</x:v>
      </x:c>
      <x:c r="E7" s="24" t="str">
        <x:v>BI Lead</x:v>
      </x:c>
      <x:c r="F7" s="24" t="n">
        <x:v>3</x:v>
      </x:c>
      <x:c r="G7" s="24" t="n">
        <x:v>4</x:v>
      </x:c>
      <x:c r="H7" s="24" t="n">
        <x:f>F7*G7</x:f>
        <x:v>12</x:v>
      </x:c>
      <x:c r="I7" s="24" t="str">
        <x:v>Moderate</x:v>
      </x:c>
      <x:c r="J7" s="24" t="n">
        <x:f>ROUND(H7*(1-IF(I7="Strong",0.75,IF(I7="Moderate",0.5,IF(I7="Limited",0.25,0)))),0)</x:f>
        <x:v>6</x:v>
      </x:c>
      <x:c r="K7" s="24" t="str">
        <x:f>IF(J7&gt;=15,"Critical",IF(J7&gt;=10,"High",IF(J7&gt;=5,"Medium","Low")))</x:f>
        <x:v>Medium</x:v>
      </x:c>
      <x:c r="L7" s="24" t="str">
        <x:v>Replatform</x:v>
      </x:c>
      <x:c r="M7" s="24" t="str">
        <x:v>CIO</x:v>
      </x:c>
      <x:c r="N7" s="70" t="n">
        <x:v>46295</x:v>
      </x:c>
      <x:c r="O7" s="24" t="str">
        <x:v>Dependency map; test results</x:v>
      </x:c>
      <x:c r="P7" s="24" t="str">
        <x:v>Open</x:v>
      </x:c>
    </x:row>
    <x:row r="8">
      <x:c r="A8" s="24" t="str">
        <x:v>R-003</x:v>
      </x:c>
      <x:c r="B8" s="24" t="str">
        <x:v>SRV-002</x:v>
      </x:c>
      <x:c r="C8" s="24" t="str">
        <x:v>APP-003</x:v>
      </x:c>
      <x:c r="D8" s="24" t="str">
        <x:v>An internet-accessible EOL server may enable unauthorised access to project documents.</x:v>
      </x:c>
      <x:c r="E8" s="24" t="str">
        <x:v>Regional IT</x:v>
      </x:c>
      <x:c r="F8" s="24" t="n">
        <x:v>5</x:v>
      </x:c>
      <x:c r="G8" s="24" t="n">
        <x:v>5</x:v>
      </x:c>
      <x:c r="H8" s="24" t="n">
        <x:f>F8*G8</x:f>
        <x:v>25</x:v>
      </x:c>
      <x:c r="I8" s="24" t="str">
        <x:v>Limited</x:v>
      </x:c>
      <x:c r="J8" s="24" t="n">
        <x:f>ROUND(H8*(1-IF(I8="Strong",0.75,IF(I8="Moderate",0.5,IF(I8="Limited",0.25,0)))),0)</x:f>
        <x:v>19</x:v>
      </x:c>
      <x:c r="K8" s="24" t="str">
        <x:f>IF(J8&gt;=15,"Critical",IF(J8&gt;=10,"High",IF(J8&gt;=5,"Medium","Low")))</x:f>
        <x:v>Critical</x:v>
      </x:c>
      <x:c r="L8" s="24" t="str">
        <x:v>Upgrade</x:v>
      </x:c>
      <x:c r="M8" s="24" t="str">
        <x:v>CISO</x:v>
      </x:c>
      <x:c r="N8" s="70" t="n">
        <x:v>46275</x:v>
      </x:c>
      <x:c r="O8" s="24" t="str">
        <x:v>External scan; firewall rules; vendor notice</x:v>
      </x:c>
      <x:c r="P8" s="24" t="str">
        <x:v>Escalated</x:v>
      </x:c>
    </x:row>
    <x:row r="9">
      <x:c r="A9" s="24" t="str">
        <x:v>R-004</x:v>
      </x:c>
      <x:c r="B9" s="24" t="str">
        <x:v>SRV-002</x:v>
      </x:c>
      <x:c r="C9" s="24" t="str">
        <x:v>APP-004</x:v>
      </x:c>
      <x:c r="D9" s="24" t="str">
        <x:v>Unsupported portal software and stale third-party access could expose restricted project information.</x:v>
      </x:c>
      <x:c r="E9" s="24" t="str">
        <x:v>Commercial Director</x:v>
      </x:c>
      <x:c r="F9" s="24" t="n">
        <x:v>4</x:v>
      </x:c>
      <x:c r="G9" s="24" t="n">
        <x:v>5</x:v>
      </x:c>
      <x:c r="H9" s="24" t="n">
        <x:f>F9*G9</x:f>
        <x:v>20</x:v>
      </x:c>
      <x:c r="I9" s="24" t="str">
        <x:v>Limited</x:v>
      </x:c>
      <x:c r="J9" s="24" t="n">
        <x:f>ROUND(H9*(1-IF(I9="Strong",0.75,IF(I9="Moderate",0.5,IF(I9="Limited",0.25,0)))),0)</x:f>
        <x:v>15</x:v>
      </x:c>
      <x:c r="K9" s="24" t="str">
        <x:f>IF(J9&gt;=15,"Critical",IF(J9&gt;=10,"High",IF(J9&gt;=5,"Medium","Low")))</x:f>
        <x:v>Critical</x:v>
      </x:c>
      <x:c r="L9" s="24" t="str">
        <x:v>Replace</x:v>
      </x:c>
      <x:c r="M9" s="24" t="str">
        <x:v>Risk Committee</x:v>
      </x:c>
      <x:c r="N9" s="70" t="n">
        <x:v>46275</x:v>
      </x:c>
      <x:c r="O9" s="24" t="str">
        <x:v>User review; portal logs; DPIA interface</x:v>
      </x:c>
      <x:c r="P9" s="24" t="str">
        <x:v>Open</x:v>
      </x:c>
    </x:row>
    <x:row r="10">
      <x:c r="A10" s="24" t="str">
        <x:v>R-005</x:v>
      </x:c>
      <x:c r="B10" s="24" t="str">
        <x:v>SRV-003</x:v>
      </x:c>
      <x:c r="C10" s="24" t="str">
        <x:v>APP-005</x:v>
      </x:c>
      <x:c r="D10" s="24" t="str">
        <x:v>Shared legacy database dependencies create a single point of failure for several critical services.</x:v>
      </x:c>
      <x:c r="E10" s="24" t="str">
        <x:v>Database Team</x:v>
      </x:c>
      <x:c r="F10" s="24" t="n">
        <x:v>4</x:v>
      </x:c>
      <x:c r="G10" s="24" t="n">
        <x:v>5</x:v>
      </x:c>
      <x:c r="H10" s="24" t="n">
        <x:f>F10*G10</x:f>
        <x:v>20</x:v>
      </x:c>
      <x:c r="I10" s="24" t="str">
        <x:v>Moderate</x:v>
      </x:c>
      <x:c r="J10" s="24" t="n">
        <x:f>ROUND(H10*(1-IF(I10="Strong",0.75,IF(I10="Moderate",0.5,IF(I10="Limited",0.25,0)))),0)</x:f>
        <x:v>10</x:v>
      </x:c>
      <x:c r="K10" s="24" t="str">
        <x:f>IF(J10&gt;=15,"Critical",IF(J10&gt;=10,"High",IF(J10&gt;=5,"Medium","Low")))</x:f>
        <x:v>High</x:v>
      </x:c>
      <x:c r="L10" s="24" t="str">
        <x:v>Upgrade</x:v>
      </x:c>
      <x:c r="M10" s="24" t="str">
        <x:v>CIO</x:v>
      </x:c>
      <x:c r="N10" s="70" t="n">
        <x:v>46296</x:v>
      </x:c>
      <x:c r="O10" s="24" t="str">
        <x:v>Architecture diagram; recovery test</x:v>
      </x:c>
      <x:c r="P10" s="24" t="str">
        <x:v>Open</x:v>
      </x:c>
    </x:row>
    <x:row r="11">
      <x:c r="A11" s="24" t="str">
        <x:v>R-006</x:v>
      </x:c>
      <x:c r="B11" s="24" t="str">
        <x:v>SRV-004</x:v>
      </x:c>
      <x:c r="C11" s="24" t="str">
        <x:v>APP-007</x:v>
      </x:c>
      <x:c r="D11" s="24" t="str">
        <x:v>Unsupported CCTV server and untested recovery could prevent access to security evidence.</x:v>
      </x:c>
      <x:c r="E11" s="24" t="str">
        <x:v>Security Manager</x:v>
      </x:c>
      <x:c r="F11" s="24" t="n">
        <x:v>4</x:v>
      </x:c>
      <x:c r="G11" s="24" t="n">
        <x:v>4</x:v>
      </x:c>
      <x:c r="H11" s="24" t="n">
        <x:f>F11*G11</x:f>
        <x:v>16</x:v>
      </x:c>
      <x:c r="I11" s="24" t="str">
        <x:v>None</x:v>
      </x:c>
      <x:c r="J11" s="24" t="n">
        <x:f>ROUND(H11*(1-IF(I11="Strong",0.75,IF(I11="Moderate",0.5,IF(I11="Limited",0.25,0)))),0)</x:f>
        <x:v>16</x:v>
      </x:c>
      <x:c r="K11" s="24" t="str">
        <x:f>IF(J11&gt;=15,"Critical",IF(J11&gt;=10,"High",IF(J11&gt;=5,"Medium","Low")))</x:f>
        <x:v>Critical</x:v>
      </x:c>
      <x:c r="L11" s="24" t="str">
        <x:v>Replace</x:v>
      </x:c>
      <x:c r="M11" s="24" t="str">
        <x:v>COO</x:v>
      </x:c>
      <x:c r="N11" s="70" t="n">
        <x:v>46266</x:v>
      </x:c>
      <x:c r="O11" s="24" t="str">
        <x:v>Backup failure; warranty status; vendor notice</x:v>
      </x:c>
      <x:c r="P11" s="24" t="str">
        <x:v>Escalated</x:v>
      </x:c>
    </x:row>
    <x:row r="12">
      <x:c r="A12" s="25" t="str">
        <x:v>R-007</x:v>
      </x:c>
      <x:c r="B12" s="25" t="str">
        <x:v>SRV-006</x:v>
      </x:c>
      <x:c r="C12" s="25" t="str">
        <x:v>APP-009</x:v>
      </x:c>
      <x:c r="D12" s="25" t="str">
        <x:v>Test data could be exposed if production information is copied into the extended-support environment.</x:v>
      </x:c>
      <x:c r="E12" s="25" t="str">
        <x:v>Cloud Team</x:v>
      </x:c>
      <x:c r="F12" s="25" t="n">
        <x:v>2</x:v>
      </x:c>
      <x:c r="G12" s="25" t="n">
        <x:v>3</x:v>
      </x:c>
      <x:c r="H12" s="25" t="n">
        <x:f>F12*G12</x:f>
        <x:v>6</x:v>
      </x:c>
      <x:c r="I12" s="25" t="str">
        <x:v>Strong</x:v>
      </x:c>
      <x:c r="J12" s="25" t="n">
        <x:f>ROUND(H12*(1-IF(I12="Strong",0.75,IF(I12="Moderate",0.5,IF(I12="Limited",0.25,0)))),0)</x:f>
        <x:v>2</x:v>
      </x:c>
      <x:c r="K12" s="25" t="str">
        <x:f>IF(J12&gt;=15,"Critical",IF(J12&gt;=10,"High",IF(J12&gt;=5,"Medium","Low")))</x:f>
        <x:v>Low</x:v>
      </x:c>
      <x:c r="L12" s="25" t="str">
        <x:v>Upgrade</x:v>
      </x:c>
      <x:c r="M12" s="25" t="str">
        <x:v>Applications Manager</x:v>
      </x:c>
      <x:c r="N12" s="71" t="n">
        <x:v>46357</x:v>
      </x:c>
      <x:c r="O12" s="25" t="str">
        <x:v>Cloud configuration; data-handling standard</x:v>
      </x:c>
      <x:c r="P12" s="25" t="str">
        <x:v>Monitoring</x:v>
      </x:c>
    </x:row>
    <x:row r="13">
      <x:c r="N13" s="72"/>
    </x:row>
    <x:row r="14">
      <x:c r="N14" s="72"/>
    </x:row>
    <x:row r="15">
      <x:c r="N15" s="72"/>
    </x:row>
    <x:row r="16">
      <x:c r="N16" s="72"/>
    </x:row>
    <x:row r="17">
      <x:c r="N17" s="72"/>
    </x:row>
    <x:row r="18">
      <x:c r="N18" s="72"/>
    </x:row>
    <x:row r="19">
      <x:c r="N19" s="72"/>
    </x:row>
    <x:row r="20">
      <x:c r="N20" s="72"/>
    </x:row>
    <x:row r="21">
      <x:c r="N21" s="72"/>
    </x:row>
    <x:row r="22">
      <x:c r="N22" s="72"/>
    </x:row>
    <x:row r="23">
      <x:c r="N23" s="72"/>
    </x:row>
    <x:row r="24">
      <x:c r="N24" s="72"/>
    </x:row>
    <x:row r="25">
      <x:c r="N25" s="72"/>
    </x:row>
    <x:row r="26">
      <x:c r="N26" s="72"/>
    </x:row>
    <x:row r="27">
      <x:c r="N27" s="72"/>
    </x:row>
    <x:row r="28">
      <x:c r="N28" s="72"/>
    </x:row>
    <x:row r="29">
      <x:c r="N29" s="72"/>
    </x:row>
    <x:row r="30">
      <x:c r="N30" s="72"/>
    </x:row>
    <x:row r="31">
      <x:c r="N31" s="72"/>
    </x:row>
    <x:row r="32">
      <x:c r="N32" s="72"/>
    </x:row>
    <x:row r="33">
      <x:c r="N33" s="72"/>
    </x:row>
    <x:row r="34">
      <x:c r="N34" s="72"/>
    </x:row>
    <x:row r="35">
      <x:c r="N35" s="72"/>
    </x:row>
    <x:row r="36">
      <x:c r="N36" s="72"/>
    </x:row>
    <x:row r="37">
      <x:c r="N37" s="72"/>
    </x:row>
    <x:row r="38">
      <x:c r="N38" s="72"/>
    </x:row>
    <x:row r="39">
      <x:c r="N39" s="72"/>
    </x:row>
    <x:row r="40">
      <x:c r="N40" s="72"/>
    </x:row>
    <x:row r="41">
      <x:c r="N41" s="72"/>
    </x:row>
    <x:row r="42">
      <x:c r="N42" s="72"/>
    </x:row>
    <x:row r="43">
      <x:c r="N43" s="72"/>
    </x:row>
    <x:row r="44">
      <x:c r="N44" s="72"/>
    </x:row>
    <x:row r="45">
      <x:c r="N45" s="72"/>
    </x:row>
    <x:row r="46">
      <x:c r="N46" s="72"/>
    </x:row>
    <x:row r="47">
      <x:c r="N47" s="72"/>
    </x:row>
    <x:row r="48">
      <x:c r="N48" s="72"/>
    </x:row>
    <x:row r="49">
      <x:c r="N49" s="72"/>
    </x:row>
    <x:row r="50">
      <x:c r="N50" s="72"/>
    </x:row>
    <x:row r="51">
      <x:c r="N51" s="72"/>
    </x:row>
    <x:row r="52">
      <x:c r="N52" s="72"/>
    </x:row>
    <x:row r="53">
      <x:c r="N53" s="72"/>
    </x:row>
    <x:row r="54">
      <x:c r="N54" s="72"/>
    </x:row>
    <x:row r="55">
      <x:c r="N55" s="72"/>
    </x:row>
    <x:row r="56">
      <x:c r="N56" s="72"/>
    </x:row>
    <x:row r="57">
      <x:c r="N57" s="72"/>
    </x:row>
    <x:row r="58">
      <x:c r="N58" s="72"/>
    </x:row>
    <x:row r="59">
      <x:c r="N59" s="72"/>
    </x:row>
    <x:row r="60">
      <x:c r="N60" s="72"/>
    </x:row>
    <x:row r="61">
      <x:c r="N61" s="72"/>
    </x:row>
    <x:row r="62">
      <x:c r="N62" s="72"/>
    </x:row>
    <x:row r="63">
      <x:c r="N63" s="72"/>
    </x:row>
    <x:row r="64">
      <x:c r="N64" s="72"/>
    </x:row>
    <x:row r="65">
      <x:c r="N65" s="72"/>
    </x:row>
    <x:row r="66">
      <x:c r="N66" s="72"/>
    </x:row>
    <x:row r="67">
      <x:c r="N67" s="72"/>
    </x:row>
    <x:row r="68">
      <x:c r="N68" s="72"/>
    </x:row>
    <x:row r="69">
      <x:c r="N69" s="72"/>
    </x:row>
    <x:row r="70">
      <x:c r="N70" s="72"/>
    </x:row>
    <x:row r="71">
      <x:c r="N71" s="72"/>
    </x:row>
    <x:row r="72">
      <x:c r="N72" s="72"/>
    </x:row>
    <x:row r="73">
      <x:c r="N73" s="72"/>
    </x:row>
    <x:row r="74">
      <x:c r="N74" s="72"/>
    </x:row>
    <x:row r="75">
      <x:c r="N75" s="72"/>
    </x:row>
    <x:row r="76">
      <x:c r="N76" s="72"/>
    </x:row>
    <x:row r="77">
      <x:c r="N77" s="72"/>
    </x:row>
    <x:row r="78">
      <x:c r="N78" s="72"/>
    </x:row>
    <x:row r="79">
      <x:c r="N79" s="72"/>
    </x:row>
    <x:row r="80">
      <x:c r="N80" s="72"/>
    </x:row>
    <x:row r="81">
      <x:c r="N81" s="72"/>
    </x:row>
    <x:row r="82">
      <x:c r="N82" s="72"/>
    </x:row>
    <x:row r="83">
      <x:c r="N83" s="72"/>
    </x:row>
    <x:row r="84">
      <x:c r="N84" s="72"/>
    </x:row>
    <x:row r="85">
      <x:c r="N85" s="72"/>
    </x:row>
    <x:row r="86">
      <x:c r="N86" s="72"/>
    </x:row>
    <x:row r="87">
      <x:c r="N87" s="72"/>
    </x:row>
    <x:row r="88">
      <x:c r="N88" s="72"/>
    </x:row>
    <x:row r="89">
      <x:c r="N89" s="72"/>
    </x:row>
    <x:row r="90">
      <x:c r="N90" s="72"/>
    </x:row>
    <x:row r="91">
      <x:c r="N91" s="72"/>
    </x:row>
    <x:row r="92">
      <x:c r="N92" s="72"/>
    </x:row>
    <x:row r="93">
      <x:c r="N93" s="72"/>
    </x:row>
    <x:row r="94">
      <x:c r="N94" s="72"/>
    </x:row>
    <x:row r="95">
      <x:c r="N95" s="72"/>
    </x:row>
    <x:row r="96">
      <x:c r="N96" s="72"/>
    </x:row>
    <x:row r="97">
      <x:c r="N97" s="72"/>
    </x:row>
    <x:row r="98">
      <x:c r="N98" s="72"/>
    </x:row>
    <x:row r="99">
      <x:c r="N99" s="72"/>
    </x:row>
    <x:row r="100">
      <x:c r="N100" s="72"/>
    </x:row>
    <x:row r="101">
      <x:c r="N101" s="72"/>
    </x:row>
    <x:row r="102">
      <x:c r="N102" s="72"/>
    </x:row>
    <x:row r="103">
      <x:c r="N103" s="72"/>
    </x:row>
    <x:row r="104">
      <x:c r="N104" s="72"/>
    </x:row>
    <x:row r="105">
      <x:c r="N105" s="72"/>
    </x:row>
  </x:sheetData>
  <x:mergeCells>
    <x:mergeCell ref="A1:P1"/>
    <x:mergeCell ref="A2:P2"/>
  </x:mergeCells>
  <x:conditionalFormatting sqref="K6:K105">
    <x:cfRule type="containsText" dxfId="13" priority="1" operator="containsText" text="Critical"/>
    <x:cfRule type="containsText" dxfId="14" priority="2" operator="containsText" text="High"/>
    <x:cfRule type="containsText" dxfId="15" priority="3" operator="containsText" text="Medium"/>
    <x:cfRule type="containsText" dxfId="16" priority="4" operator="containsText" text="Low"/>
  </x:conditionalFormatting>
  <x:conditionalFormatting sqref="J6:J105">
    <x:cfRule type="colorScale" priority="5">
      <x:colorScale>
        <x:cfvo type="min"/>
        <x:cfvo type="percentile" val="50"/>
        <x:cfvo type="max"/>
        <x:color rgb="FFE2F0D9"/>
        <x:color rgb="FFFFF2CC"/>
        <x:color rgb="FFC00000"/>
      </x:colorScale>
    </x:cfRule>
  </x:conditionalFormatting>
  <x:dataValidations count="4">
    <x:dataValidation type="whole" operator="between" sqref="F6:G105">
      <x:formula1>1</x:formula1>
      <x:formula2>5</x:formula2>
    </x:dataValidation>
    <x:dataValidation type="list" sqref="I6:I105">
      <x:formula1>"None,Limited,Moderate,Strong"</x:formula1>
    </x:dataValidation>
    <x:dataValidation type="list" sqref="L6:L105">
      <x:formula1>"Avoid,Reduce,Transfer,Accept,Upgrade,Replace,Retire,Replatform"</x:formula1>
    </x:dataValidation>
    <x:dataValidation type="list" sqref="P6:P105">
      <x:formula1>"Open,Monitoring,Escalated,Accepted,Closed"</x:formula1>
    </x:dataValidation>
  </x:dataValidations>
  <x:pageMargins left="0.7" right="0.7" top="0.75" bottom="0.75" header="0.3" footer="0.3"/>
  <x:tableParts count="1">
    <x:tablePart xmlns:r="http://schemas.openxmlformats.org/officeDocument/2006/relationships" r:id="R8d1abaf9aeaa4e9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11" hidden="0" customWidth="1"/>
    <x:col min="3" max="3" width="12" hidden="0" customWidth="1"/>
    <x:col min="4" max="4" width="14" hidden="0" customWidth="1"/>
    <x:col min="5" max="5" width="46" hidden="0" customWidth="1"/>
    <x:col min="6" max="6" width="18" hidden="0" customWidth="1"/>
    <x:col min="7" max="7" width="10" hidden="0" customWidth="1"/>
    <x:col min="8" max="8" width="20" hidden="0" customWidth="1"/>
    <x:col min="9" max="9" width="13" hidden="0" customWidth="1"/>
    <x:col min="10" max="10" width="13" hidden="0" customWidth="1"/>
    <x:col min="11" max="11" width="15" hidden="0" customWidth="1"/>
    <x:col min="12" max="12" width="12" hidden="0" customWidth="1"/>
    <x:col min="13" max="13" width="13" hidden="0" customWidth="1"/>
    <x:col min="14" max="14" width="16" hidden="0" customWidth="1"/>
    <x:col min="15" max="15" width="18" hidden="0" customWidth="1"/>
    <x:col min="16" max="16" width="18" hidden="0" customWidth="1"/>
    <x:col min="17" max="17" width="36" hidden="0" customWidth="1"/>
  </x:cols>
  <x:sheetData>
    <x:row r="1" ht="34" customHeight="1">
      <x:c r="A1" s="3" t="str">
        <x:v>Remediation &amp; Exception Tracker</x:v>
      </x:c>
    </x:row>
    <x:row r="2" ht="24" customHeight="1">
      <x:c r="A2" s="6" t="str">
        <x:v>Tracks ownership, delivery dates, ageing, approvals and residual exposure</x:v>
      </x:c>
      <x:c r="B2" s="6"/>
      <x:c r="C2" s="6"/>
      <x:c r="D2" s="6"/>
      <x:c r="E2" s="6"/>
      <x:c r="F2" s="6"/>
      <x:c r="G2" s="6"/>
      <x:c r="H2" s="6"/>
      <x:c r="I2" s="6"/>
      <x:c r="J2" s="6"/>
      <x:c r="K2" s="6"/>
      <x:c r="L2" s="6"/>
      <x:c r="M2" s="6"/>
      <x:c r="N2" s="6"/>
      <x:c r="O2" s="6"/>
      <x:c r="P2" s="6"/>
      <x:c r="Q2" s="6"/>
    </x:row>
    <x:row r="5" ht="34" customHeight="1">
      <x:c r="A5" s="14" t="str">
        <x:v>Action ID</x:v>
      </x:c>
      <x:c r="B5" s="68" t="str">
        <x:v>Risk ID</x:v>
      </x:c>
      <x:c r="C5" s="68" t="str">
        <x:v>Server ID</x:v>
      </x:c>
      <x:c r="D5" s="68" t="str">
        <x:v>Application ID</x:v>
      </x:c>
      <x:c r="E5" s="68" t="str">
        <x:v>Remediation action</x:v>
      </x:c>
      <x:c r="F5" s="68" t="str">
        <x:v>Treatment type</x:v>
      </x:c>
      <x:c r="G5" s="68" t="str">
        <x:v>Priority</x:v>
      </x:c>
      <x:c r="H5" s="68" t="str">
        <x:v>Owner</x:v>
      </x:c>
      <x:c r="I5" s="68" t="str">
        <x:v>Start date</x:v>
      </x:c>
      <x:c r="J5" s="68" t="str">
        <x:v>Due date</x:v>
      </x:c>
      <x:c r="K5" s="68" t="str">
        <x:v>Status</x:v>
      </x:c>
      <x:c r="L5" s="68" t="str">
        <x:v>% complete</x:v>
      </x:c>
      <x:c r="M5" s="68" t="str">
        <x:v>Days to due</x:v>
      </x:c>
      <x:c r="N5" s="68" t="str">
        <x:v>Schedule flag</x:v>
      </x:c>
      <x:c r="O5" s="68" t="str">
        <x:v>Risk acceptance expiry</x:v>
      </x:c>
      <x:c r="P5" s="68" t="str">
        <x:v>Approver</x:v>
      </x:c>
      <x:c r="Q5" s="15" t="str">
        <x:v>Evidence / update</x:v>
      </x:c>
    </x:row>
    <x:row r="6">
      <x:c r="A6" s="23" t="str">
        <x:v>ACT-001</x:v>
      </x:c>
      <x:c r="B6" s="23" t="str">
        <x:v>R-001</x:v>
      </x:c>
      <x:c r="C6" s="23" t="str">
        <x:v>SRV-001</x:v>
      </x:c>
      <x:c r="D6" s="23" t="str">
        <x:v>APP-001</x:v>
      </x:c>
      <x:c r="E6" s="23" t="str">
        <x:v>Select supported SaaS ERP and complete migration design.</x:v>
      </x:c>
      <x:c r="F6" s="23" t="str">
        <x:v>Replace</x:v>
      </x:c>
      <x:c r="G6" s="23" t="str">
        <x:v>P1</x:v>
      </x:c>
      <x:c r="H6" s="23" t="str">
        <x:v>Applications Manager</x:v>
      </x:c>
      <x:c r="I6" s="69" t="n">
        <x:v>46249</x:v>
      </x:c>
      <x:c r="J6" s="69" t="n">
        <x:v>46371</x:v>
      </x:c>
      <x:c r="K6" s="23" t="str">
        <x:v>In Progress</x:v>
      </x:c>
      <x:c r="L6" s="33" t="n">
        <x:v>0.35</x:v>
      </x:c>
      <x:c r="M6" s="73" t="n">
        <x:f>J6-TODAY()</x:f>
        <x:v>110</x:v>
      </x:c>
      <x:c r="N6" s="23" t="str">
        <x:f>IF(K6="Completed","Complete",IF(J6&lt;TODAY(),"Overdue",IF(J6-TODAY()&lt;=30,"Due ≤30 days","On Track")))</x:f>
        <x:v>On Track</x:v>
      </x:c>
      <x:c r="O6" s="69"/>
      <x:c r="P6" s="23" t="str">
        <x:v>CIO</x:v>
      </x:c>
      <x:c r="Q6" s="23" t="str">
        <x:v>Requirements agreed; vendor shortlist in review.</x:v>
      </x:c>
    </x:row>
    <x:row r="7">
      <x:c r="A7" s="24" t="str">
        <x:v>ACT-002</x:v>
      </x:c>
      <x:c r="B7" s="24" t="str">
        <x:v>R-002</x:v>
      </x:c>
      <x:c r="C7" s="24" t="str">
        <x:v>SRV-001</x:v>
      </x:c>
      <x:c r="D7" s="24" t="str">
        <x:v>APP-002</x:v>
      </x:c>
      <x:c r="E7" s="24" t="str">
        <x:v>Replatform legacy reports and validate ERP schema dependencies.</x:v>
      </x:c>
      <x:c r="F7" s="24" t="str">
        <x:v>Replatform</x:v>
      </x:c>
      <x:c r="G7" s="24" t="str">
        <x:v>P2</x:v>
      </x:c>
      <x:c r="H7" s="24" t="str">
        <x:v>BI Lead</x:v>
      </x:c>
      <x:c r="I7" s="70" t="n">
        <x:v>46266</x:v>
      </x:c>
      <x:c r="J7" s="70" t="n">
        <x:v>46356</x:v>
      </x:c>
      <x:c r="K7" s="24" t="str">
        <x:v>Not Started</x:v>
      </x:c>
      <x:c r="L7" s="34" t="n">
        <x:v>0</x:v>
      </x:c>
      <x:c r="M7" s="74" t="n">
        <x:f>J7-TODAY()</x:f>
        <x:v>95</x:v>
      </x:c>
      <x:c r="N7" s="24" t="str">
        <x:f>IF(K7="Completed","Complete",IF(J7&lt;TODAY(),"Overdue",IF(J7-TODAY()&lt;=30,"Due ≤30 days","On Track")))</x:f>
        <x:v>On Track</x:v>
      </x:c>
      <x:c r="O7" s="70"/>
      <x:c r="P7" s="24" t="str">
        <x:v>CIO</x:v>
      </x:c>
      <x:c r="Q7" s="24" t="str">
        <x:v>Dependency workshop scheduled.</x:v>
      </x:c>
    </x:row>
    <x:row r="8">
      <x:c r="A8" s="24" t="str">
        <x:v>ACT-003</x:v>
      </x:c>
      <x:c r="B8" s="24" t="str">
        <x:v>R-003</x:v>
      </x:c>
      <x:c r="C8" s="24" t="str">
        <x:v>SRV-002</x:v>
      </x:c>
      <x:c r="D8" s="24" t="str">
        <x:v>APP-003</x:v>
      </x:c>
      <x:c r="E8" s="24" t="str">
        <x:v>Restrict external exposure, apply virtual patching and upgrade SiteDocs.</x:v>
      </x:c>
      <x:c r="F8" s="24" t="str">
        <x:v>Upgrade</x:v>
      </x:c>
      <x:c r="G8" s="24" t="str">
        <x:v>P1</x:v>
      </x:c>
      <x:c r="H8" s="24" t="str">
        <x:v>Regional IT</x:v>
      </x:c>
      <x:c r="I8" s="70" t="n">
        <x:v>46254</x:v>
      </x:c>
      <x:c r="J8" s="70" t="n">
        <x:v>46326</x:v>
      </x:c>
      <x:c r="K8" s="24" t="str">
        <x:v>In Progress</x:v>
      </x:c>
      <x:c r="L8" s="34" t="n">
        <x:v>0.45</x:v>
      </x:c>
      <x:c r="M8" s="74" t="n">
        <x:f>J8-TODAY()</x:f>
        <x:v>65</x:v>
      </x:c>
      <x:c r="N8" s="24" t="str">
        <x:f>IF(K8="Completed","Complete",IF(J8&lt;TODAY(),"Overdue",IF(J8-TODAY()&lt;=30,"Due ≤30 days","On Track")))</x:f>
        <x:v>On Track</x:v>
      </x:c>
      <x:c r="O8" s="70"/>
      <x:c r="P8" s="24" t="str">
        <x:v>CISO</x:v>
      </x:c>
      <x:c r="Q8" s="24" t="str">
        <x:v>WAF rule enabled; target build underway.</x:v>
      </x:c>
    </x:row>
    <x:row r="9">
      <x:c r="A9" s="24" t="str">
        <x:v>ACT-004</x:v>
      </x:c>
      <x:c r="B9" s="24" t="str">
        <x:v>R-004</x:v>
      </x:c>
      <x:c r="C9" s="24" t="str">
        <x:v>SRV-002</x:v>
      </x:c>
      <x:c r="D9" s="24" t="str">
        <x:v>APP-004</x:v>
      </x:c>
      <x:c r="E9" s="24" t="str">
        <x:v>Replace subcontractor portal and recertify external accounts.</x:v>
      </x:c>
      <x:c r="F9" s="24" t="str">
        <x:v>Replace</x:v>
      </x:c>
      <x:c r="G9" s="24" t="str">
        <x:v>P1</x:v>
      </x:c>
      <x:c r="H9" s="24" t="str">
        <x:v>Commercial Director</x:v>
      </x:c>
      <x:c r="I9" s="70" t="n">
        <x:v>46259</x:v>
      </x:c>
      <x:c r="J9" s="70" t="n">
        <x:v>46326</x:v>
      </x:c>
      <x:c r="K9" s="24" t="str">
        <x:v>Not Started</x:v>
      </x:c>
      <x:c r="L9" s="34" t="n">
        <x:v>0</x:v>
      </x:c>
      <x:c r="M9" s="74" t="n">
        <x:f>J9-TODAY()</x:f>
        <x:v>65</x:v>
      </x:c>
      <x:c r="N9" s="24" t="str">
        <x:f>IF(K9="Completed","Complete",IF(J9&lt;TODAY(),"Overdue",IF(J9-TODAY()&lt;=30,"Due ≤30 days","On Track")))</x:f>
        <x:v>On Track</x:v>
      </x:c>
      <x:c r="O9" s="70"/>
      <x:c r="P9" s="24" t="str">
        <x:v>Risk Committee</x:v>
      </x:c>
      <x:c r="Q9" s="24" t="str">
        <x:v>Procurement approval pending.</x:v>
      </x:c>
    </x:row>
    <x:row r="10">
      <x:c r="A10" s="24" t="str">
        <x:v>ACT-005</x:v>
      </x:c>
      <x:c r="B10" s="24" t="str">
        <x:v>R-005</x:v>
      </x:c>
      <x:c r="C10" s="24" t="str">
        <x:v>SRV-003</x:v>
      </x:c>
      <x:c r="D10" s="24" t="str">
        <x:v>APP-005</x:v>
      </x:c>
      <x:c r="E10" s="24" t="str">
        <x:v>Upgrade database platform and complete restore/performance testing.</x:v>
      </x:c>
      <x:c r="F10" s="24" t="str">
        <x:v>Upgrade</x:v>
      </x:c>
      <x:c r="G10" s="24" t="str">
        <x:v>P1</x:v>
      </x:c>
      <x:c r="H10" s="24" t="str">
        <x:v>Database Team</x:v>
      </x:c>
      <x:c r="I10" s="70" t="n">
        <x:v>46244</x:v>
      </x:c>
      <x:c r="J10" s="70" t="n">
        <x:v>46357</x:v>
      </x:c>
      <x:c r="K10" s="24" t="str">
        <x:v>In Progress</x:v>
      </x:c>
      <x:c r="L10" s="34" t="n">
        <x:v>0.6</x:v>
      </x:c>
      <x:c r="M10" s="74" t="n">
        <x:f>J10-TODAY()</x:f>
        <x:v>96</x:v>
      </x:c>
      <x:c r="N10" s="24" t="str">
        <x:f>IF(K10="Completed","Complete",IF(J10&lt;TODAY(),"Overdue",IF(J10-TODAY()&lt;=30,"Due ≤30 days","On Track")))</x:f>
        <x:v>On Track</x:v>
      </x:c>
      <x:c r="O10" s="70"/>
      <x:c r="P10" s="24" t="str">
        <x:v>CIO</x:v>
      </x:c>
      <x:c r="Q10" s="24" t="str">
        <x:v>Restore test passed; performance test open.</x:v>
      </x:c>
    </x:row>
    <x:row r="11">
      <x:c r="A11" s="24" t="str">
        <x:v>ACT-006</x:v>
      </x:c>
      <x:c r="B11" s="24" t="str">
        <x:v>R-006</x:v>
      </x:c>
      <x:c r="C11" s="24" t="str">
        <x:v>SRV-004</x:v>
      </x:c>
      <x:c r="D11" s="24" t="str">
        <x:v>APP-007</x:v>
      </x:c>
      <x:c r="E11" s="24" t="str">
        <x:v>Replace CCTV management server and validate camera compatibility.</x:v>
      </x:c>
      <x:c r="F11" s="24" t="str">
        <x:v>Replace</x:v>
      </x:c>
      <x:c r="G11" s="24" t="str">
        <x:v>P1</x:v>
      </x:c>
      <x:c r="H11" s="24" t="str">
        <x:v>Security Manager</x:v>
      </x:c>
      <x:c r="I11" s="70" t="n">
        <x:v>46218</x:v>
      </x:c>
      <x:c r="J11" s="70" t="n">
        <x:v>46295</x:v>
      </x:c>
      <x:c r="K11" s="24" t="str">
        <x:v>Blocked</x:v>
      </x:c>
      <x:c r="L11" s="34" t="n">
        <x:v>0.2</x:v>
      </x:c>
      <x:c r="M11" s="74" t="n">
        <x:f>J11-TODAY()</x:f>
        <x:v>34</x:v>
      </x:c>
      <x:c r="N11" s="24" t="str">
        <x:f>IF(K11="Completed","Complete",IF(J11&lt;TODAY(),"Overdue",IF(J11-TODAY()&lt;=30,"Due ≤30 days","On Track")))</x:f>
        <x:v>On Track</x:v>
      </x:c>
      <x:c r="O11" s="70" t="n">
        <x:v>46326</x:v>
      </x:c>
      <x:c r="P11" s="24" t="str">
        <x:v>COO</x:v>
      </x:c>
      <x:c r="Q11" s="24" t="str">
        <x:v>Vendor compatibility decision overdue.</x:v>
      </x:c>
    </x:row>
    <x:row r="12">
      <x:c r="A12" s="25" t="str">
        <x:v>ACT-007</x:v>
      </x:c>
      <x:c r="B12" s="25" t="str">
        <x:v>R-007</x:v>
      </x:c>
      <x:c r="C12" s="25" t="str">
        <x:v>SRV-006</x:v>
      </x:c>
      <x:c r="D12" s="25" t="str">
        <x:v>APP-009</x:v>
      </x:c>
      <x:c r="E12" s="25" t="str">
        <x:v>Enforce test-data controls and schedule Ubuntu platform upgrade.</x:v>
      </x:c>
      <x:c r="F12" s="25" t="str">
        <x:v>Upgrade</x:v>
      </x:c>
      <x:c r="G12" s="25" t="str">
        <x:v>P3</x:v>
      </x:c>
      <x:c r="H12" s="25" t="str">
        <x:v>Cloud Team</x:v>
      </x:c>
      <x:c r="I12" s="71" t="n">
        <x:v>46296</x:v>
      </x:c>
      <x:c r="J12" s="71" t="n">
        <x:v>46477</x:v>
      </x:c>
      <x:c r="K12" s="25" t="str">
        <x:v>Not Started</x:v>
      </x:c>
      <x:c r="L12" s="35" t="n">
        <x:v>0</x:v>
      </x:c>
      <x:c r="M12" s="75" t="n">
        <x:f>J12-TODAY()</x:f>
        <x:v>216</x:v>
      </x:c>
      <x:c r="N12" s="25" t="str">
        <x:f>IF(K12="Completed","Complete",IF(J12&lt;TODAY(),"Overdue",IF(J12-TODAY()&lt;=30,"Due ≤30 days","On Track")))</x:f>
        <x:v>On Track</x:v>
      </x:c>
      <x:c r="O12" s="71"/>
      <x:c r="P12" s="25" t="str">
        <x:v>Applications Manager</x:v>
      </x:c>
      <x:c r="Q12" s="25" t="str">
        <x:v>Planned within cloud maintenance roadmap.</x:v>
      </x:c>
    </x:row>
    <x:row r="13">
      <x:c r="I13" s="72"/>
      <x:c r="J13" s="72"/>
      <x:c r="L13" s="7"/>
      <x:c r="M13" s="76"/>
      <x:c r="O13" s="72"/>
    </x:row>
    <x:row r="14">
      <x:c r="I14" s="72"/>
      <x:c r="J14" s="72"/>
      <x:c r="L14" s="7"/>
      <x:c r="M14" s="76"/>
      <x:c r="O14" s="72"/>
    </x:row>
    <x:row r="15">
      <x:c r="I15" s="72"/>
      <x:c r="J15" s="72"/>
      <x:c r="L15" s="7"/>
      <x:c r="M15" s="76"/>
      <x:c r="O15" s="72"/>
    </x:row>
    <x:row r="16">
      <x:c r="I16" s="72"/>
      <x:c r="J16" s="72"/>
      <x:c r="L16" s="7"/>
      <x:c r="M16" s="76"/>
      <x:c r="O16" s="72"/>
    </x:row>
    <x:row r="17">
      <x:c r="I17" s="72"/>
      <x:c r="J17" s="72"/>
      <x:c r="L17" s="7"/>
      <x:c r="M17" s="76"/>
      <x:c r="O17" s="72"/>
    </x:row>
    <x:row r="18">
      <x:c r="I18" s="72"/>
      <x:c r="J18" s="72"/>
      <x:c r="L18" s="7"/>
      <x:c r="M18" s="76"/>
      <x:c r="O18" s="72"/>
    </x:row>
    <x:row r="19">
      <x:c r="I19" s="72"/>
      <x:c r="J19" s="72"/>
      <x:c r="L19" s="7"/>
      <x:c r="M19" s="76"/>
      <x:c r="O19" s="72"/>
    </x:row>
    <x:row r="20">
      <x:c r="I20" s="72"/>
      <x:c r="J20" s="72"/>
      <x:c r="L20" s="7"/>
      <x:c r="M20" s="76"/>
      <x:c r="O20" s="72"/>
    </x:row>
    <x:row r="21">
      <x:c r="I21" s="72"/>
      <x:c r="J21" s="72"/>
      <x:c r="L21" s="7"/>
      <x:c r="M21" s="76"/>
      <x:c r="O21" s="72"/>
    </x:row>
    <x:row r="22">
      <x:c r="I22" s="72"/>
      <x:c r="J22" s="72"/>
      <x:c r="L22" s="7"/>
      <x:c r="M22" s="76"/>
      <x:c r="O22" s="72"/>
    </x:row>
    <x:row r="23">
      <x:c r="I23" s="72"/>
      <x:c r="J23" s="72"/>
      <x:c r="L23" s="7"/>
      <x:c r="M23" s="76"/>
      <x:c r="O23" s="72"/>
    </x:row>
    <x:row r="24">
      <x:c r="I24" s="72"/>
      <x:c r="J24" s="72"/>
      <x:c r="L24" s="7"/>
      <x:c r="M24" s="76"/>
      <x:c r="O24" s="72"/>
    </x:row>
    <x:row r="25">
      <x:c r="I25" s="72"/>
      <x:c r="J25" s="72"/>
      <x:c r="L25" s="7"/>
      <x:c r="M25" s="76"/>
      <x:c r="O25" s="72"/>
    </x:row>
    <x:row r="26">
      <x:c r="I26" s="72"/>
      <x:c r="J26" s="72"/>
      <x:c r="L26" s="7"/>
      <x:c r="M26" s="76"/>
      <x:c r="O26" s="72"/>
    </x:row>
    <x:row r="27">
      <x:c r="I27" s="72"/>
      <x:c r="J27" s="72"/>
      <x:c r="L27" s="7"/>
      <x:c r="M27" s="76"/>
      <x:c r="O27" s="72"/>
    </x:row>
    <x:row r="28">
      <x:c r="I28" s="72"/>
      <x:c r="J28" s="72"/>
      <x:c r="L28" s="7"/>
      <x:c r="M28" s="76"/>
      <x:c r="O28" s="72"/>
    </x:row>
    <x:row r="29">
      <x:c r="I29" s="72"/>
      <x:c r="J29" s="72"/>
      <x:c r="L29" s="7"/>
      <x:c r="M29" s="76"/>
      <x:c r="O29" s="72"/>
    </x:row>
    <x:row r="30">
      <x:c r="I30" s="72"/>
      <x:c r="J30" s="72"/>
      <x:c r="L30" s="7"/>
      <x:c r="M30" s="76"/>
      <x:c r="O30" s="72"/>
    </x:row>
    <x:row r="31">
      <x:c r="I31" s="72"/>
      <x:c r="J31" s="72"/>
      <x:c r="L31" s="7"/>
      <x:c r="M31" s="76"/>
      <x:c r="O31" s="72"/>
    </x:row>
    <x:row r="32">
      <x:c r="I32" s="72"/>
      <x:c r="J32" s="72"/>
      <x:c r="L32" s="7"/>
      <x:c r="M32" s="76"/>
      <x:c r="O32" s="72"/>
    </x:row>
    <x:row r="33">
      <x:c r="I33" s="72"/>
      <x:c r="J33" s="72"/>
      <x:c r="L33" s="7"/>
      <x:c r="M33" s="76"/>
      <x:c r="O33" s="72"/>
    </x:row>
    <x:row r="34">
      <x:c r="I34" s="72"/>
      <x:c r="J34" s="72"/>
      <x:c r="L34" s="7"/>
      <x:c r="M34" s="76"/>
      <x:c r="O34" s="72"/>
    </x:row>
    <x:row r="35">
      <x:c r="I35" s="72"/>
      <x:c r="J35" s="72"/>
      <x:c r="L35" s="7"/>
      <x:c r="M35" s="76"/>
      <x:c r="O35" s="72"/>
    </x:row>
    <x:row r="36">
      <x:c r="I36" s="72"/>
      <x:c r="J36" s="72"/>
      <x:c r="L36" s="7"/>
      <x:c r="M36" s="76"/>
      <x:c r="O36" s="72"/>
    </x:row>
    <x:row r="37">
      <x:c r="I37" s="72"/>
      <x:c r="J37" s="72"/>
      <x:c r="L37" s="7"/>
      <x:c r="M37" s="76"/>
      <x:c r="O37" s="72"/>
    </x:row>
    <x:row r="38">
      <x:c r="I38" s="72"/>
      <x:c r="J38" s="72"/>
      <x:c r="L38" s="7"/>
      <x:c r="M38" s="76"/>
      <x:c r="O38" s="72"/>
    </x:row>
    <x:row r="39">
      <x:c r="I39" s="72"/>
      <x:c r="J39" s="72"/>
      <x:c r="L39" s="7"/>
      <x:c r="M39" s="76"/>
      <x:c r="O39" s="72"/>
    </x:row>
    <x:row r="40">
      <x:c r="I40" s="72"/>
      <x:c r="J40" s="72"/>
      <x:c r="L40" s="7"/>
      <x:c r="M40" s="76"/>
      <x:c r="O40" s="72"/>
    </x:row>
    <x:row r="41">
      <x:c r="I41" s="72"/>
      <x:c r="J41" s="72"/>
      <x:c r="L41" s="7"/>
      <x:c r="M41" s="76"/>
      <x:c r="O41" s="72"/>
    </x:row>
    <x:row r="42">
      <x:c r="I42" s="72"/>
      <x:c r="J42" s="72"/>
      <x:c r="L42" s="7"/>
      <x:c r="M42" s="76"/>
      <x:c r="O42" s="72"/>
    </x:row>
    <x:row r="43">
      <x:c r="I43" s="72"/>
      <x:c r="J43" s="72"/>
      <x:c r="L43" s="7"/>
      <x:c r="M43" s="76"/>
      <x:c r="O43" s="72"/>
    </x:row>
    <x:row r="44">
      <x:c r="I44" s="72"/>
      <x:c r="J44" s="72"/>
      <x:c r="L44" s="7"/>
      <x:c r="M44" s="76"/>
      <x:c r="O44" s="72"/>
    </x:row>
    <x:row r="45">
      <x:c r="I45" s="72"/>
      <x:c r="J45" s="72"/>
      <x:c r="L45" s="7"/>
      <x:c r="M45" s="76"/>
      <x:c r="O45" s="72"/>
    </x:row>
    <x:row r="46">
      <x:c r="I46" s="72"/>
      <x:c r="J46" s="72"/>
      <x:c r="L46" s="7"/>
      <x:c r="M46" s="76"/>
      <x:c r="O46" s="72"/>
    </x:row>
    <x:row r="47">
      <x:c r="I47" s="72"/>
      <x:c r="J47" s="72"/>
      <x:c r="L47" s="7"/>
      <x:c r="M47" s="76"/>
      <x:c r="O47" s="72"/>
    </x:row>
    <x:row r="48">
      <x:c r="I48" s="72"/>
      <x:c r="J48" s="72"/>
      <x:c r="L48" s="7"/>
      <x:c r="M48" s="76"/>
      <x:c r="O48" s="72"/>
    </x:row>
    <x:row r="49">
      <x:c r="I49" s="72"/>
      <x:c r="J49" s="72"/>
      <x:c r="L49" s="7"/>
      <x:c r="M49" s="76"/>
      <x:c r="O49" s="72"/>
    </x:row>
    <x:row r="50">
      <x:c r="I50" s="72"/>
      <x:c r="J50" s="72"/>
      <x:c r="L50" s="7"/>
      <x:c r="M50" s="76"/>
      <x:c r="O50" s="72"/>
    </x:row>
    <x:row r="51">
      <x:c r="I51" s="72"/>
      <x:c r="J51" s="72"/>
      <x:c r="L51" s="7"/>
      <x:c r="M51" s="76"/>
      <x:c r="O51" s="72"/>
    </x:row>
    <x:row r="52">
      <x:c r="I52" s="72"/>
      <x:c r="J52" s="72"/>
      <x:c r="L52" s="7"/>
      <x:c r="M52" s="76"/>
      <x:c r="O52" s="72"/>
    </x:row>
    <x:row r="53">
      <x:c r="I53" s="72"/>
      <x:c r="J53" s="72"/>
      <x:c r="L53" s="7"/>
      <x:c r="M53" s="76"/>
      <x:c r="O53" s="72"/>
    </x:row>
    <x:row r="54">
      <x:c r="I54" s="72"/>
      <x:c r="J54" s="72"/>
      <x:c r="L54" s="7"/>
      <x:c r="M54" s="76"/>
      <x:c r="O54" s="72"/>
    </x:row>
    <x:row r="55">
      <x:c r="I55" s="72"/>
      <x:c r="J55" s="72"/>
      <x:c r="L55" s="7"/>
      <x:c r="M55" s="76"/>
      <x:c r="O55" s="72"/>
    </x:row>
    <x:row r="56">
      <x:c r="I56" s="72"/>
      <x:c r="J56" s="72"/>
      <x:c r="L56" s="7"/>
      <x:c r="M56" s="76"/>
      <x:c r="O56" s="72"/>
    </x:row>
    <x:row r="57">
      <x:c r="I57" s="72"/>
      <x:c r="J57" s="72"/>
      <x:c r="L57" s="7"/>
      <x:c r="M57" s="76"/>
      <x:c r="O57" s="72"/>
    </x:row>
    <x:row r="58">
      <x:c r="I58" s="72"/>
      <x:c r="J58" s="72"/>
      <x:c r="L58" s="7"/>
      <x:c r="M58" s="76"/>
      <x:c r="O58" s="72"/>
    </x:row>
    <x:row r="59">
      <x:c r="I59" s="72"/>
      <x:c r="J59" s="72"/>
      <x:c r="L59" s="7"/>
      <x:c r="M59" s="76"/>
      <x:c r="O59" s="72"/>
    </x:row>
    <x:row r="60">
      <x:c r="I60" s="72"/>
      <x:c r="J60" s="72"/>
      <x:c r="L60" s="7"/>
      <x:c r="M60" s="76"/>
      <x:c r="O60" s="72"/>
    </x:row>
    <x:row r="61">
      <x:c r="I61" s="72"/>
      <x:c r="J61" s="72"/>
      <x:c r="L61" s="7"/>
      <x:c r="M61" s="76"/>
      <x:c r="O61" s="72"/>
    </x:row>
    <x:row r="62">
      <x:c r="I62" s="72"/>
      <x:c r="J62" s="72"/>
      <x:c r="L62" s="7"/>
      <x:c r="M62" s="76"/>
      <x:c r="O62" s="72"/>
    </x:row>
    <x:row r="63">
      <x:c r="I63" s="72"/>
      <x:c r="J63" s="72"/>
      <x:c r="L63" s="7"/>
      <x:c r="M63" s="76"/>
      <x:c r="O63" s="72"/>
    </x:row>
    <x:row r="64">
      <x:c r="I64" s="72"/>
      <x:c r="J64" s="72"/>
      <x:c r="L64" s="7"/>
      <x:c r="M64" s="76"/>
      <x:c r="O64" s="72"/>
    </x:row>
    <x:row r="65">
      <x:c r="I65" s="72"/>
      <x:c r="J65" s="72"/>
      <x:c r="L65" s="7"/>
      <x:c r="M65" s="76"/>
      <x:c r="O65" s="72"/>
    </x:row>
    <x:row r="66">
      <x:c r="I66" s="72"/>
      <x:c r="J66" s="72"/>
      <x:c r="L66" s="7"/>
      <x:c r="M66" s="76"/>
      <x:c r="O66" s="72"/>
    </x:row>
    <x:row r="67">
      <x:c r="I67" s="72"/>
      <x:c r="J67" s="72"/>
      <x:c r="L67" s="7"/>
      <x:c r="M67" s="76"/>
      <x:c r="O67" s="72"/>
    </x:row>
    <x:row r="68">
      <x:c r="I68" s="72"/>
      <x:c r="J68" s="72"/>
      <x:c r="L68" s="7"/>
      <x:c r="M68" s="76"/>
      <x:c r="O68" s="72"/>
    </x:row>
    <x:row r="69">
      <x:c r="I69" s="72"/>
      <x:c r="J69" s="72"/>
      <x:c r="L69" s="7"/>
      <x:c r="M69" s="76"/>
      <x:c r="O69" s="72"/>
    </x:row>
    <x:row r="70">
      <x:c r="I70" s="72"/>
      <x:c r="J70" s="72"/>
      <x:c r="L70" s="7"/>
      <x:c r="M70" s="76"/>
      <x:c r="O70" s="72"/>
    </x:row>
    <x:row r="71">
      <x:c r="I71" s="72"/>
      <x:c r="J71" s="72"/>
      <x:c r="L71" s="7"/>
      <x:c r="M71" s="76"/>
      <x:c r="O71" s="72"/>
    </x:row>
    <x:row r="72">
      <x:c r="I72" s="72"/>
      <x:c r="J72" s="72"/>
      <x:c r="L72" s="7"/>
      <x:c r="M72" s="76"/>
      <x:c r="O72" s="72"/>
    </x:row>
    <x:row r="73">
      <x:c r="I73" s="72"/>
      <x:c r="J73" s="72"/>
      <x:c r="L73" s="7"/>
      <x:c r="M73" s="76"/>
      <x:c r="O73" s="72"/>
    </x:row>
    <x:row r="74">
      <x:c r="I74" s="72"/>
      <x:c r="J74" s="72"/>
      <x:c r="L74" s="7"/>
      <x:c r="M74" s="76"/>
      <x:c r="O74" s="72"/>
    </x:row>
    <x:row r="75">
      <x:c r="I75" s="72"/>
      <x:c r="J75" s="72"/>
      <x:c r="L75" s="7"/>
      <x:c r="M75" s="76"/>
      <x:c r="O75" s="72"/>
    </x:row>
    <x:row r="76">
      <x:c r="I76" s="72"/>
      <x:c r="J76" s="72"/>
      <x:c r="L76" s="7"/>
      <x:c r="M76" s="76"/>
      <x:c r="O76" s="72"/>
    </x:row>
    <x:row r="77">
      <x:c r="I77" s="72"/>
      <x:c r="J77" s="72"/>
      <x:c r="L77" s="7"/>
      <x:c r="M77" s="76"/>
      <x:c r="O77" s="72"/>
    </x:row>
    <x:row r="78">
      <x:c r="I78" s="72"/>
      <x:c r="J78" s="72"/>
      <x:c r="L78" s="7"/>
      <x:c r="M78" s="76"/>
      <x:c r="O78" s="72"/>
    </x:row>
    <x:row r="79">
      <x:c r="I79" s="72"/>
      <x:c r="J79" s="72"/>
      <x:c r="L79" s="7"/>
      <x:c r="M79" s="76"/>
      <x:c r="O79" s="72"/>
    </x:row>
    <x:row r="80">
      <x:c r="I80" s="72"/>
      <x:c r="J80" s="72"/>
      <x:c r="L80" s="7"/>
      <x:c r="M80" s="76"/>
      <x:c r="O80" s="72"/>
    </x:row>
    <x:row r="81">
      <x:c r="I81" s="72"/>
      <x:c r="J81" s="72"/>
      <x:c r="L81" s="7"/>
      <x:c r="M81" s="76"/>
      <x:c r="O81" s="72"/>
    </x:row>
    <x:row r="82">
      <x:c r="I82" s="72"/>
      <x:c r="J82" s="72"/>
      <x:c r="L82" s="7"/>
      <x:c r="M82" s="76"/>
      <x:c r="O82" s="72"/>
    </x:row>
    <x:row r="83">
      <x:c r="I83" s="72"/>
      <x:c r="J83" s="72"/>
      <x:c r="L83" s="7"/>
      <x:c r="M83" s="76"/>
      <x:c r="O83" s="72"/>
    </x:row>
    <x:row r="84">
      <x:c r="I84" s="72"/>
      <x:c r="J84" s="72"/>
      <x:c r="L84" s="7"/>
      <x:c r="M84" s="76"/>
      <x:c r="O84" s="72"/>
    </x:row>
    <x:row r="85">
      <x:c r="I85" s="72"/>
      <x:c r="J85" s="72"/>
      <x:c r="L85" s="7"/>
      <x:c r="M85" s="76"/>
      <x:c r="O85" s="72"/>
    </x:row>
    <x:row r="86">
      <x:c r="I86" s="72"/>
      <x:c r="J86" s="72"/>
      <x:c r="L86" s="7"/>
      <x:c r="M86" s="76"/>
      <x:c r="O86" s="72"/>
    </x:row>
    <x:row r="87">
      <x:c r="I87" s="72"/>
      <x:c r="J87" s="72"/>
      <x:c r="L87" s="7"/>
      <x:c r="M87" s="76"/>
      <x:c r="O87" s="72"/>
    </x:row>
    <x:row r="88">
      <x:c r="I88" s="72"/>
      <x:c r="J88" s="72"/>
      <x:c r="L88" s="7"/>
      <x:c r="M88" s="76"/>
      <x:c r="O88" s="72"/>
    </x:row>
    <x:row r="89">
      <x:c r="I89" s="72"/>
      <x:c r="J89" s="72"/>
      <x:c r="L89" s="7"/>
      <x:c r="M89" s="76"/>
      <x:c r="O89" s="72"/>
    </x:row>
    <x:row r="90">
      <x:c r="I90" s="72"/>
      <x:c r="J90" s="72"/>
      <x:c r="L90" s="7"/>
      <x:c r="M90" s="76"/>
      <x:c r="O90" s="72"/>
    </x:row>
    <x:row r="91">
      <x:c r="I91" s="72"/>
      <x:c r="J91" s="72"/>
      <x:c r="L91" s="7"/>
      <x:c r="M91" s="76"/>
      <x:c r="O91" s="72"/>
    </x:row>
    <x:row r="92">
      <x:c r="I92" s="72"/>
      <x:c r="J92" s="72"/>
      <x:c r="L92" s="7"/>
      <x:c r="M92" s="76"/>
      <x:c r="O92" s="72"/>
    </x:row>
    <x:row r="93">
      <x:c r="I93" s="72"/>
      <x:c r="J93" s="72"/>
      <x:c r="L93" s="7"/>
      <x:c r="M93" s="76"/>
      <x:c r="O93" s="72"/>
    </x:row>
    <x:row r="94">
      <x:c r="I94" s="72"/>
      <x:c r="J94" s="72"/>
      <x:c r="L94" s="7"/>
      <x:c r="M94" s="76"/>
      <x:c r="O94" s="72"/>
    </x:row>
    <x:row r="95">
      <x:c r="I95" s="72"/>
      <x:c r="J95" s="72"/>
      <x:c r="L95" s="7"/>
      <x:c r="M95" s="76"/>
      <x:c r="O95" s="72"/>
    </x:row>
    <x:row r="96">
      <x:c r="I96" s="72"/>
      <x:c r="J96" s="72"/>
      <x:c r="L96" s="7"/>
      <x:c r="M96" s="76"/>
      <x:c r="O96" s="72"/>
    </x:row>
    <x:row r="97">
      <x:c r="I97" s="72"/>
      <x:c r="J97" s="72"/>
      <x:c r="L97" s="7"/>
      <x:c r="M97" s="76"/>
      <x:c r="O97" s="72"/>
    </x:row>
    <x:row r="98">
      <x:c r="I98" s="72"/>
      <x:c r="J98" s="72"/>
      <x:c r="L98" s="7"/>
      <x:c r="M98" s="76"/>
      <x:c r="O98" s="72"/>
    </x:row>
    <x:row r="99">
      <x:c r="I99" s="72"/>
      <x:c r="J99" s="72"/>
      <x:c r="L99" s="7"/>
      <x:c r="M99" s="76"/>
      <x:c r="O99" s="72"/>
    </x:row>
    <x:row r="100">
      <x:c r="I100" s="72"/>
      <x:c r="J100" s="72"/>
      <x:c r="L100" s="7"/>
      <x:c r="M100" s="76"/>
      <x:c r="O100" s="72"/>
    </x:row>
    <x:row r="101">
      <x:c r="I101" s="72"/>
      <x:c r="J101" s="72"/>
      <x:c r="L101" s="7"/>
      <x:c r="M101" s="76"/>
      <x:c r="O101" s="72"/>
    </x:row>
    <x:row r="102">
      <x:c r="I102" s="72"/>
      <x:c r="J102" s="72"/>
      <x:c r="L102" s="7"/>
      <x:c r="M102" s="76"/>
      <x:c r="O102" s="72"/>
    </x:row>
    <x:row r="103">
      <x:c r="I103" s="72"/>
      <x:c r="J103" s="72"/>
      <x:c r="L103" s="7"/>
      <x:c r="M103" s="76"/>
      <x:c r="O103" s="72"/>
    </x:row>
    <x:row r="104">
      <x:c r="I104" s="72"/>
      <x:c r="J104" s="72"/>
      <x:c r="L104" s="7"/>
      <x:c r="M104" s="76"/>
      <x:c r="O104" s="72"/>
    </x:row>
    <x:row r="105">
      <x:c r="I105" s="72"/>
      <x:c r="J105" s="72"/>
      <x:c r="L105" s="7"/>
      <x:c r="M105" s="76"/>
      <x:c r="O105" s="72"/>
    </x:row>
  </x:sheetData>
  <x:mergeCells>
    <x:mergeCell ref="A1:Q1"/>
    <x:mergeCell ref="A2:Q2"/>
  </x:mergeCells>
  <x:conditionalFormatting sqref="N6:N105">
    <x:cfRule type="containsText" dxfId="17" priority="1" operator="containsText" text="Overdue"/>
    <x:cfRule type="containsText" dxfId="18" priority="2" operator="containsText" text="Due"/>
    <x:cfRule type="containsText" dxfId="19" priority="3" operator="containsText" text="Track"/>
  </x:conditionalFormatting>
  <x:conditionalFormatting sqref="L6:L105">
    <x:cfRule type="dataBar" priority="4">
      <x:dataBar>
        <x:cfvo type="min"/>
        <x:cfvo type="max"/>
        <x:color rgb="FF2F75B5"/>
      </x:dataBar>
      <x:extLst>
        <x:ext xmlns:x14="http://schemas.microsoft.com/office/spreadsheetml/2009/9/main" uri="{B025F937-C7B1-47D3-B67F-A62EFF666E3E}">
          <x14:id>{7010DCD8-E40E-214E-A6C8-08DBCC97FC33}</x14:id>
        </x:ext>
      </x:extLst>
    </x:cfRule>
  </x:conditionalFormatting>
  <x:dataValidations count="4">
    <x:dataValidation type="list" sqref="F6:F105">
      <x:formula1>"Upgrade,Rehost,Replatform,Replace,Retire,Exception,Compensating Control"</x:formula1>
    </x:dataValidation>
    <x:dataValidation type="list" sqref="G6:G105">
      <x:formula1>"P1,P2,P3,P4"</x:formula1>
    </x:dataValidation>
    <x:dataValidation type="list" sqref="K6:K105">
      <x:formula1>"Not Started,In Progress,Blocked,Completed,Accepted"</x:formula1>
    </x:dataValidation>
    <x:dataValidation type="decimal" operator="between" sqref="L6:L105">
      <x:formula1>0</x:formula1>
      <x:formula2>1</x:formula2>
    </x:dataValidation>
  </x:dataValidations>
  <x:pageMargins left="0.7" right="0.7" top="0.75" bottom="0.75" header="0.3" footer="0.3"/>
  <x:tableParts count="1">
    <x:tablePart xmlns:r="http://schemas.openxmlformats.org/officeDocument/2006/relationships" r:id="Rddb76e0fea0a4496"/>
  </x:tableParts>
  <x:extLst>
    <x:ext xmlns:x14="http://schemas.microsoft.com/office/spreadsheetml/2009/9/main" xmlns:xm="http://schemas.microsoft.com/office/excel/2006/main" uri="{78C0D931-6437-407d-A8EE-F0AAD7539E65}">
      <x14:conditionalFormattings>
        <x14:conditionalFormatting>
          <x14:cfRule type="dataBar" priority="4" id="{7010DCD8-E40E-214E-A6C8-08DBCC97FC33}">
            <x14:dataBar gradient="1">
              <x14:cfvo type="min"/>
              <x14:cfvo type="max"/>
              <x14:fillColor rgb="FF2F75B5"/>
            </x14:dataBar>
          </x14:cfRule>
          <xm:sqref>L6:L105</xm:sqref>
        </x14:conditionalFormatting>
      </x14:conditionalFormattings>
    </x:ext>
  </x:extLst>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34" customHeight="1">
      <x:c r="A1" s="3" t="str">
        <x:v>Guidance &amp; Lookups</x:v>
      </x:c>
    </x:row>
    <x:row r="2" ht="24" customHeight="1">
      <x:c r="A2" s="6" t="str">
        <x:v>Editable scoring rules, response lists and workbook instructions</x:v>
      </x:c>
      <x:c r="B2" s="6"/>
      <x:c r="C2" s="6"/>
      <x:c r="D2" s="6"/>
      <x:c r="E2" s="6"/>
      <x:c r="F2" s="6"/>
      <x:c r="G2" s="6"/>
      <x:c r="H2" s="6"/>
    </x:row>
    <x:row r="4" ht="34" customHeight="1">
      <x:c r="A4" s="14" t="str">
        <x:v>Risk score</x:v>
      </x:c>
      <x:c r="B4" s="15" t="str">
        <x:v>Rating</x:v>
      </x:c>
      <x:c r="D4" s="14" t="str">
        <x:v>Control effectiveness</x:v>
      </x:c>
      <x:c r="E4" s="15" t="str">
        <x:v>Reduction</x:v>
      </x:c>
      <x:c r="G4" s="14" t="str">
        <x:v>Field</x:v>
      </x:c>
      <x:c r="H4" s="15" t="str">
        <x:v>Allowed values</x:v>
      </x:c>
    </x:row>
    <x:row r="5">
      <x:c r="A5" s="23" t="str">
        <x:v>15–25</x:v>
      </x:c>
      <x:c r="B5" s="23" t="str">
        <x:v>Critical</x:v>
      </x:c>
      <x:c r="D5" s="23" t="str">
        <x:v>None</x:v>
      </x:c>
      <x:c r="E5" s="33" t="n">
        <x:v>0</x:v>
      </x:c>
      <x:c r="G5" s="23" t="str">
        <x:v>Criticality</x:v>
      </x:c>
      <x:c r="H5" s="23" t="str">
        <x:v>Critical | High | Medium | Low</x:v>
      </x:c>
    </x:row>
    <x:row r="6">
      <x:c r="A6" s="24" t="str">
        <x:v>10–14</x:v>
      </x:c>
      <x:c r="B6" s="24" t="str">
        <x:v>High</x:v>
      </x:c>
      <x:c r="D6" s="24" t="str">
        <x:v>Limited</x:v>
      </x:c>
      <x:c r="E6" s="34" t="n">
        <x:v>0.25</x:v>
      </x:c>
      <x:c r="G6" s="24" t="str">
        <x:v>Support status</x:v>
      </x:c>
      <x:c r="H6" s="24" t="str">
        <x:v>Supported | Extended Support | End of Life | Unknown</x:v>
      </x:c>
    </x:row>
    <x:row r="7">
      <x:c r="A7" s="24" t="str">
        <x:v>5–9</x:v>
      </x:c>
      <x:c r="B7" s="24" t="str">
        <x:v>Medium</x:v>
      </x:c>
      <x:c r="D7" s="24" t="str">
        <x:v>Moderate</x:v>
      </x:c>
      <x:c r="E7" s="34" t="n">
        <x:v>0.5</x:v>
      </x:c>
      <x:c r="G7" s="24" t="str">
        <x:v>Yes/No</x:v>
      </x:c>
      <x:c r="H7" s="24" t="str">
        <x:v>Yes | No | Unknown</x:v>
      </x:c>
    </x:row>
    <x:row r="8">
      <x:c r="A8" s="25" t="str">
        <x:v>1–4</x:v>
      </x:c>
      <x:c r="B8" s="25" t="str">
        <x:v>Low</x:v>
      </x:c>
      <x:c r="D8" s="25" t="str">
        <x:v>Strong</x:v>
      </x:c>
      <x:c r="E8" s="35" t="n">
        <x:v>0.75</x:v>
      </x:c>
      <x:c r="G8" s="24" t="str">
        <x:v>Migration option</x:v>
      </x:c>
      <x:c r="H8" s="24" t="str">
        <x:v>Upgrade | Rehost | Replatform | Replace | Retire | Exception</x:v>
      </x:c>
    </x:row>
    <x:row r="9">
      <x:c r="G9" s="24" t="str">
        <x:v>Action status</x:v>
      </x:c>
      <x:c r="H9" s="24" t="str">
        <x:v>Not Started | In Progress | Blocked | Completed | Accepted</x:v>
      </x:c>
    </x:row>
    <x:row r="10">
      <x:c r="G10" s="24" t="str">
        <x:v>Data classification</x:v>
      </x:c>
      <x:c r="H10" s="24" t="str">
        <x:v>Public | Internal | Confidential | Restricted</x:v>
      </x:c>
    </x:row>
    <x:row r="11">
      <x:c r="G11" s="24" t="str">
        <x:v>Environment</x:v>
      </x:c>
      <x:c r="H11" s="24" t="str">
        <x:v>Production | Test | Development | Disaster Recovery</x:v>
      </x:c>
    </x:row>
    <x:row r="12">
      <x:c r="G12" s="25" t="str">
        <x:v>Priority</x:v>
      </x:c>
      <x:c r="H12" s="25" t="str">
        <x:v>P1 | P2 | P3 | P4</x:v>
      </x:c>
    </x:row>
    <x:row r="15">
      <x:c r="A15" s="37" t="str">
        <x:v>How to use this workbook</x:v>
      </x:c>
      <x:c r="B15" s="37"/>
      <x:c r="C15" s="37"/>
      <x:c r="D15" s="37"/>
      <x:c r="E15" s="37"/>
      <x:c r="F15" s="37"/>
      <x:c r="G15" s="37"/>
      <x:c r="H15" s="37"/>
    </x:row>
    <x:row r="16" ht="30" customHeight="1">
      <x:c r="A16" s="57" t="str">
        <x:v>1. Record each physical or virtual server in Server Register.
2. Add one row per hosted application in Application Inventory.
3. Use Discovery Questionnaire with application and business owners.
4. Score risks using likelihood × impact and record compensating-control effectiveness.
5. Manage upgrades, migrations, replacements, retirement and exceptions in Remediation Tracker.
6. Present the Executive Dashboard to the risk committee or interview panel.
All populated organisations, people and systems are fictional portfolio examples.</x:v>
      </x:c>
      <x:c r="B16" s="58"/>
      <x:c r="C16" s="58"/>
      <x:c r="D16" s="58"/>
      <x:c r="E16" s="58"/>
      <x:c r="F16" s="58"/>
      <x:c r="G16" s="58"/>
      <x:c r="H16" s="59"/>
    </x:row>
    <x:row r="17" ht="30" customHeight="1">
      <x:c r="A17" s="60"/>
      <x:c r="B17" s="61"/>
      <x:c r="C17" s="61"/>
      <x:c r="D17" s="61"/>
      <x:c r="E17" s="61"/>
      <x:c r="F17" s="61"/>
      <x:c r="G17" s="61"/>
      <x:c r="H17" s="62"/>
    </x:row>
    <x:row r="18" ht="30" customHeight="1">
      <x:c r="A18" s="60"/>
      <x:c r="B18" s="61"/>
      <x:c r="C18" s="61"/>
      <x:c r="D18" s="61"/>
      <x:c r="E18" s="61"/>
      <x:c r="F18" s="61"/>
      <x:c r="G18" s="61"/>
      <x:c r="H18" s="62"/>
    </x:row>
    <x:row r="19" ht="30" customHeight="1">
      <x:c r="A19" s="60"/>
      <x:c r="B19" s="61"/>
      <x:c r="C19" s="61"/>
      <x:c r="D19" s="61"/>
      <x:c r="E19" s="61"/>
      <x:c r="F19" s="61"/>
      <x:c r="G19" s="61"/>
      <x:c r="H19" s="62"/>
    </x:row>
    <x:row r="20" ht="30" customHeight="1">
      <x:c r="A20" s="63"/>
      <x:c r="B20" s="64"/>
      <x:c r="C20" s="64"/>
      <x:c r="D20" s="64"/>
      <x:c r="E20" s="64"/>
      <x:c r="F20" s="64"/>
      <x:c r="G20" s="64"/>
      <x:c r="H20" s="65"/>
    </x:row>
  </x:sheetData>
  <x:mergeCells>
    <x:mergeCell ref="A1:H1"/>
    <x:mergeCell ref="A2:H2"/>
    <x:mergeCell ref="A15:H15"/>
    <x:mergeCell ref="A16:H20"/>
  </x:mergeCells>
  <x:pageMargins left="0.7" right="0.7" top="0.75" bottom="0.75" header="0.3" footer="0.3"/>
</x:worksheet>
</file>